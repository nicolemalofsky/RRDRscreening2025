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lofsna/Haselton-Wright Dropbox/Nicole Malofsky/4. Lab Publications/1. In Preparation/25 Malofsky RRDR/Data Repository/Supporting Information - Data Repository/Optimization of Segment 1 Melt Probe Duplex Tm/Expt 344/"/>
    </mc:Choice>
  </mc:AlternateContent>
  <xr:revisionPtr revIDLastSave="0" documentId="13_ncr:1_{96F3147C-5524-0F4D-8C26-767616B6AA33}" xr6:coauthVersionLast="47" xr6:coauthVersionMax="47" xr10:uidLastSave="{00000000-0000-0000-0000-000000000000}"/>
  <bookViews>
    <workbookView xWindow="0" yWindow="760" windowWidth="42740" windowHeight="19440" firstSheet="1" activeTab="2" xr2:uid="{00000000-000D-0000-FFFF-FFFF00000000}"/>
  </bookViews>
  <sheets>
    <sheet name=".125uM S1" sheetId="63" r:id="rId1"/>
    <sheet name="0.5uM S1" sheetId="66" r:id="rId2"/>
    <sheet name="1.0uM S1" sheetId="67" r:id="rId3"/>
  </sheets>
  <definedNames>
    <definedName name="_xlnm.Print_Area" localSheetId="0">'.125uM S1'!$S$3:$AM$23</definedName>
    <definedName name="_xlnm.Print_Area" localSheetId="1">'0.5uM S1'!$S$3:$AM$23</definedName>
    <definedName name="_xlnm.Print_Area" localSheetId="2">'1.0uM S1'!$S$3:$AM$23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67" l="1"/>
  <c r="M36" i="67"/>
  <c r="O35" i="67"/>
  <c r="M35" i="67"/>
  <c r="L11" i="67"/>
  <c r="L12" i="67"/>
  <c r="L13" i="67"/>
  <c r="L14" i="67"/>
  <c r="L16" i="67"/>
  <c r="L17" i="67"/>
  <c r="L10" i="67"/>
  <c r="M21" i="67"/>
  <c r="M10" i="67"/>
  <c r="M11" i="67"/>
  <c r="M12" i="67"/>
  <c r="M13" i="67"/>
  <c r="M14" i="67"/>
  <c r="M16" i="67"/>
  <c r="M20" i="67"/>
  <c r="L20" i="67"/>
  <c r="M17" i="67"/>
  <c r="J17" i="67"/>
  <c r="O14" i="67"/>
  <c r="O13" i="67"/>
  <c r="O12" i="67"/>
  <c r="K12" i="67"/>
  <c r="O11" i="67"/>
  <c r="K11" i="67"/>
  <c r="O10" i="67"/>
  <c r="O36" i="66"/>
  <c r="M36" i="66"/>
  <c r="O35" i="66"/>
  <c r="M35" i="66"/>
  <c r="L11" i="66"/>
  <c r="L12" i="66"/>
  <c r="L13" i="66"/>
  <c r="L14" i="66"/>
  <c r="L16" i="66"/>
  <c r="L17" i="66"/>
  <c r="L10" i="66"/>
  <c r="M21" i="66"/>
  <c r="M10" i="66"/>
  <c r="M11" i="66"/>
  <c r="M12" i="66"/>
  <c r="M13" i="66"/>
  <c r="M14" i="66"/>
  <c r="M16" i="66"/>
  <c r="M20" i="66"/>
  <c r="L20" i="66"/>
  <c r="M17" i="66"/>
  <c r="J17" i="66"/>
  <c r="O14" i="66"/>
  <c r="O13" i="66"/>
  <c r="O12" i="66"/>
  <c r="K12" i="66"/>
  <c r="O11" i="66"/>
  <c r="K11" i="66"/>
  <c r="O10" i="66"/>
  <c r="L11" i="63"/>
  <c r="L12" i="63"/>
  <c r="L13" i="63"/>
  <c r="L14" i="63"/>
  <c r="L16" i="63"/>
  <c r="L17" i="63"/>
  <c r="L10" i="63"/>
  <c r="M21" i="63"/>
  <c r="O36" i="63"/>
  <c r="M36" i="63"/>
  <c r="O35" i="63"/>
  <c r="M35" i="63"/>
  <c r="M10" i="63"/>
  <c r="M11" i="63"/>
  <c r="M12" i="63"/>
  <c r="M13" i="63"/>
  <c r="M14" i="63"/>
  <c r="M16" i="63"/>
  <c r="M20" i="63"/>
  <c r="L20" i="63"/>
  <c r="M17" i="63"/>
  <c r="J17" i="63"/>
  <c r="O14" i="63"/>
  <c r="O13" i="63"/>
  <c r="O12" i="63"/>
  <c r="K12" i="63"/>
  <c r="O11" i="63"/>
  <c r="K11" i="63"/>
  <c r="O10" i="63"/>
</calcChain>
</file>

<file path=xl/sharedStrings.xml><?xml version="1.0" encoding="utf-8"?>
<sst xmlns="http://schemas.openxmlformats.org/spreadsheetml/2006/main" count="385" uniqueCount="127">
  <si>
    <t>Date</t>
  </si>
  <si>
    <t>Component</t>
  </si>
  <si>
    <t># of Samples</t>
  </si>
  <si>
    <t># of Rxns</t>
  </si>
  <si>
    <t>Nuclease-free water</t>
  </si>
  <si>
    <t>Add sep</t>
  </si>
  <si>
    <t>vol/tube</t>
  </si>
  <si>
    <t>sum</t>
  </si>
  <si>
    <t>total volume</t>
  </si>
  <si>
    <t>Temp (ºC)</t>
  </si>
  <si>
    <t>Time (mm:ss)</t>
  </si>
  <si>
    <t># of cycles</t>
  </si>
  <si>
    <t>Single Rxn Vol (uL)</t>
  </si>
  <si>
    <t>Full Rxn Vol (uL)</t>
  </si>
  <si>
    <t>Sequence</t>
  </si>
  <si>
    <t>Source</t>
  </si>
  <si>
    <t>Volume (uL) added per rxn</t>
  </si>
  <si>
    <t>[Stock] (uM)</t>
  </si>
  <si>
    <t>[Working] (uM)</t>
  </si>
  <si>
    <t>[Rxn] (nM)</t>
  </si>
  <si>
    <t>[Rxn] (uM)</t>
  </si>
  <si>
    <t>[Working]</t>
  </si>
  <si>
    <t>[Final Rxn uM]</t>
  </si>
  <si>
    <t>Check off Component</t>
  </si>
  <si>
    <t>1X</t>
  </si>
  <si>
    <t>10 uM</t>
  </si>
  <si>
    <t>2X</t>
  </si>
  <si>
    <t>NTC</t>
  </si>
  <si>
    <t>15 min UV light in clean hood</t>
  </si>
  <si>
    <t>Melt / Denaturation (Cycling A)</t>
  </si>
  <si>
    <t>Anneal / Extension (Cycling B) *acquire*</t>
  </si>
  <si>
    <t>Clean hood = left, target bench = left</t>
  </si>
  <si>
    <t>Target</t>
  </si>
  <si>
    <t>A</t>
  </si>
  <si>
    <t>B</t>
  </si>
  <si>
    <t>C</t>
  </si>
  <si>
    <t>D</t>
  </si>
  <si>
    <t>E</t>
  </si>
  <si>
    <t>F</t>
  </si>
  <si>
    <t>G</t>
  </si>
  <si>
    <t>H</t>
  </si>
  <si>
    <t>Polymerase Activation</t>
  </si>
  <si>
    <t>Kit = SensiFAST Probe No-ROX Kit (BIO-86005)</t>
  </si>
  <si>
    <t>65C to 95C</t>
  </si>
  <si>
    <t>95C to 50C</t>
  </si>
  <si>
    <t>Melt Analysis *aquire*</t>
  </si>
  <si>
    <t>LC Green Plus</t>
  </si>
  <si>
    <t>SensiFAST Probe No-ROX Kit</t>
  </si>
  <si>
    <t>10X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</si>
  <si>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</si>
  <si>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</si>
  <si>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</si>
  <si>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</si>
  <si>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</si>
  <si>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</si>
  <si>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</si>
  <si>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N/A</t>
  </si>
  <si>
    <t>Note w/r to mutants: SNP underlined in red</t>
  </si>
  <si>
    <t>PCR + post-melt: 0.025C/s on continuous melt per literature support</t>
  </si>
  <si>
    <t>SensiFAST Probe No-ROX Kit (BIO-86005)</t>
  </si>
  <si>
    <t>Location: -20C, rpob - I491 F pink box from 6/3/24</t>
  </si>
  <si>
    <t>10^6 c/uL</t>
  </si>
  <si>
    <t>rpoB F Primer (MEP409)</t>
  </si>
  <si>
    <t>rpoB R Primer (MEP410)</t>
  </si>
  <si>
    <t>Probe 1</t>
  </si>
  <si>
    <t>Probe 2</t>
  </si>
  <si>
    <t>RRDR F Primer (MEP409)</t>
  </si>
  <si>
    <t>RRDR R Primer (MEP410)</t>
  </si>
  <si>
    <t>LOT = # SFPN-323412A</t>
  </si>
  <si>
    <t>Anneal / Hybridiization</t>
  </si>
  <si>
    <t>D435V</t>
  </si>
  <si>
    <t>H445D</t>
  </si>
  <si>
    <t>S450L</t>
  </si>
  <si>
    <t>H445D+S450L</t>
  </si>
  <si>
    <t>D435V+H445D+S450L</t>
  </si>
  <si>
    <t>MEP</t>
  </si>
  <si>
    <t>Wild-type RRDR</t>
  </si>
  <si>
    <t>Target Type</t>
  </si>
  <si>
    <t>50 uM</t>
  </si>
  <si>
    <t>5 uM</t>
  </si>
  <si>
    <t>Mutated Seg</t>
  </si>
  <si>
    <t>S1</t>
  </si>
  <si>
    <t>S2</t>
  </si>
  <si>
    <t>S1+2</t>
  </si>
  <si>
    <t>Pipet 18uL MM per well</t>
  </si>
  <si>
    <t>Add 2uL target per target well (10^6c/uL)</t>
  </si>
  <si>
    <t>10/23/24 prep 50uM Blocked C3 Spacer WT RRDR Melt Probe MEP551 (Segment 1, stock 10/3/24 in clean room) in -80 box RRDR Melt Probe Segments</t>
  </si>
  <si>
    <t>SYBR Green I nucleic acid gel stain (Sigma S9430_0.5ML) LOT #SLBD8080V</t>
  </si>
  <si>
    <t>10/24/24: prep 100X SYBR in 1X TE via 10,000X DMSO stock</t>
  </si>
  <si>
    <t>PCR instrument = QuantStudio5</t>
  </si>
  <si>
    <t>10/25/24 prep RRDR WT (MEP399) and H445D+S450L (MEP481) target as 10^6 c/uL in -80 box RRDR Targets July 2024</t>
  </si>
  <si>
    <t>11/20/24 prep 10uM 3' TXR Seg1 WT RRDR Melt Probe MEP596 (stock 11/20/24 in clean room) in 20C target fridge</t>
  </si>
  <si>
    <t>12/9/24 prep 10uM 3' TXR Seg2 WT RRDR Melt Probe MEP599 (stock 12/9/24 in clean room) in 20C target fridge</t>
  </si>
  <si>
    <t>12/20/24 prep 10uM 3' TXR Conserved Seg WT RRDR Melt Probe MEP600 (stock 12/20/24 in clean room) in 20C target fridge</t>
  </si>
  <si>
    <t xml:space="preserve">Add Seg1 (@ 10uM) to MM tube </t>
  </si>
  <si>
    <t xml:space="preserve">Add Seg2 (@ 10uM) to MM tube </t>
  </si>
  <si>
    <t>LC Green Plus (BioFire Cat # BCHM-ASY-0005, LOT 302124), 10X in 10mM Tris-HCl, o 1/13/24, stored in ClRm FridgeB</t>
  </si>
  <si>
    <t>NA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</si>
  <si>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</si>
  <si>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</si>
  <si>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>Master Mix</t>
  </si>
  <si>
    <t>10/23/24 prep 50uM FWD pri MEP409, 02/05/2025 SD prep 5uM REV pri MEP410 - both from 6/19/24 stock 100uM</t>
  </si>
  <si>
    <t>02/03/25 Swesh prep 50uM Blocked C3 Spacer WT RRDR Melt Probe MEP492 (Segment 2, stock 7/25/24) in -80 box RRDR Melt Probe Segments</t>
  </si>
  <si>
    <t>2/10/25 and prep 25X SYBR in 1X TE via 100X in TE via 10,000X stock</t>
  </si>
  <si>
    <t>2/11/25 prep 10uM blocked probes MEP551 and 02/03/25 aliquot prep MEP492</t>
  </si>
  <si>
    <t>PCR: 1.6C/s to 95C 2m, 1.6C/s to 95C 10s, 1.6C/s to 61C 50s acq (40X PCR)</t>
  </si>
  <si>
    <t xml:space="preserve">02/26/25 SD MgCl2 prep (500 mM stock) and 100 mM Dilution (clean room right hood) </t>
  </si>
  <si>
    <t>MEP399 (WT)</t>
  </si>
  <si>
    <t>TARGET:</t>
  </si>
  <si>
    <t>o Feb tube</t>
  </si>
  <si>
    <t>7/23+24/24 prep 10^6c/uL target for H445D (MEP479), D435V (MEP478), S450L (MEP480), D435V+H445D+S450L (MEP482) in -80C box RRDR Targets July 2024</t>
  </si>
  <si>
    <t>3/10/25 prep MEP612 RRDR Seg2 Blocked Probe as 100uM in 1X TE clean room freezer, 10uM in H2O target fridge</t>
  </si>
  <si>
    <t>9/18/24 prep MEP550 RRDR Seg1 Blocked Probe as 10uM in H2O target fridge</t>
  </si>
  <si>
    <r>
      <t xml:space="preserve">Custom melt // targets: no passive reference, optical filters </t>
    </r>
    <r>
      <rPr>
        <sz val="12"/>
        <color rgb="FFFF0000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rFont val="Calibri (Body)"/>
      </rPr>
      <t xml:space="preserve">reporters: </t>
    </r>
    <r>
      <rPr>
        <sz val="12"/>
        <color rgb="FF008F00"/>
        <rFont val="Calibri (Body)"/>
      </rPr>
      <t>LCGR+</t>
    </r>
    <r>
      <rPr>
        <sz val="12"/>
        <rFont val="Calibri (Body)"/>
      </rPr>
      <t>-none</t>
    </r>
  </si>
  <si>
    <t xml:space="preserve">MEP481 </t>
  </si>
  <si>
    <t>Seg 1 MEP550 in uL (via 10uM)</t>
  </si>
  <si>
    <t>Seg 2 MEP612 in uL (via 10uM)</t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</si>
  <si>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</si>
  <si>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Expt 344 - SensiFAST Probe No Rox</t>
  </si>
  <si>
    <t>Goal: RRDR -  E343 showed promise for consistently narrow peaks across replicates with 2X LCGR+ using segment 1 as MEP550 and new segment 2 as MEP612. Try to increase peak magnitudes even more with increased PCR hold steps to increase product yield for duplex formation - use 95C for 20s (from 10s) and 61C for 60s (from 50s). Also play with Segment 1 concentration at 0.125uM (standard), 0.5uM, and 1.0uM for extreme cases</t>
  </si>
  <si>
    <t>0.125uM Seg1</t>
  </si>
  <si>
    <t>Blocked Melt Probe Seg1 (MEP550)</t>
  </si>
  <si>
    <t>Blocked Melt Probe Seg2 (MEP612)</t>
  </si>
  <si>
    <t>Build off E343 but incr hold time even more on cycling</t>
  </si>
  <si>
    <t>0.5uM Seg1</t>
  </si>
  <si>
    <t>1.0uM Seg1</t>
  </si>
  <si>
    <t>Target = MEP399 (RRDR WT) or MEP481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</si>
</sst>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FF0000"/>
      <name val="Calibri (Body)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008F00"/>
      <name val="Arial"/>
      <family val="2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sz val="12"/>
      <name val="Calibri (Body)"/>
    </font>
    <font>
      <sz val="12"/>
      <color rgb="FF008F00"/>
      <name val="Calibri (Body)"/>
    </font>
    <font>
      <b/>
      <sz val="11"/>
      <color theme="1"/>
      <name val="Calibri"/>
      <family val="2"/>
      <scheme val="minor"/>
    </font>
    <font>
      <b/>
      <sz val="16"/>
      <color rgb="FFFF0000"/>
      <name val="Calibri (Body)"/>
    </font>
    <font>
      <b/>
      <sz val="10"/>
      <color rgb="FF00B050"/>
      <name val="Calibri (Body)"/>
    </font>
    <font>
      <b/>
      <sz val="10"/>
      <color rgb="FFFF0000"/>
      <name val="Calibri"/>
      <family val="2"/>
      <scheme val="minor"/>
    </font>
    <font>
      <b/>
      <sz val="11"/>
      <color rgb="FF0432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3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6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0" fontId="6" fillId="0" borderId="0" xfId="0" applyFont="1"/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7" fillId="0" borderId="1" xfId="0" applyFont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3" fillId="4" borderId="0" xfId="0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8" fillId="0" borderId="0" xfId="0" applyFont="1"/>
    <xf numFmtId="0" fontId="11" fillId="0" borderId="16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9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5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8" fillId="0" borderId="6" xfId="0" applyFont="1" applyBorder="1"/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justify" vertical="center" wrapText="1"/>
    </xf>
    <xf numFmtId="0" fontId="10" fillId="0" borderId="27" xfId="0" applyFont="1" applyBorder="1" applyAlignment="1">
      <alignment horizontal="justify" vertical="center" wrapText="1"/>
    </xf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8" fillId="4" borderId="1" xfId="0" applyFont="1" applyFill="1" applyBorder="1" applyAlignment="1">
      <alignment vertical="center"/>
    </xf>
    <xf numFmtId="0" fontId="0" fillId="3" borderId="33" xfId="0" applyFill="1" applyBorder="1"/>
    <xf numFmtId="0" fontId="0" fillId="3" borderId="22" xfId="0" applyFill="1" applyBorder="1"/>
    <xf numFmtId="0" fontId="0" fillId="12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13" borderId="1" xfId="0" applyFill="1" applyBorder="1"/>
    <xf numFmtId="0" fontId="0" fillId="12" borderId="1" xfId="0" applyFill="1" applyBorder="1"/>
    <xf numFmtId="0" fontId="14" fillId="0" borderId="1" xfId="0" applyFont="1" applyBorder="1"/>
    <xf numFmtId="0" fontId="22" fillId="5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12" borderId="3" xfId="0" applyFont="1" applyFill="1" applyBorder="1" applyAlignment="1">
      <alignment horizontal="right"/>
    </xf>
    <xf numFmtId="2" fontId="0" fillId="3" borderId="21" xfId="0" applyNumberFormat="1" applyFill="1" applyBorder="1"/>
    <xf numFmtId="2" fontId="0" fillId="0" borderId="21" xfId="0" applyNumberFormat="1" applyBorder="1"/>
    <xf numFmtId="0" fontId="7" fillId="15" borderId="3" xfId="0" applyFont="1" applyFill="1" applyBorder="1" applyAlignment="1">
      <alignment horizontal="right"/>
    </xf>
    <xf numFmtId="0" fontId="10" fillId="0" borderId="0" xfId="0" applyFont="1" applyAlignment="1">
      <alignment horizontal="left" vertical="top"/>
    </xf>
    <xf numFmtId="0" fontId="0" fillId="15" borderId="1" xfId="0" applyFill="1" applyBorder="1" applyAlignment="1">
      <alignment horizontal="right"/>
    </xf>
    <xf numFmtId="0" fontId="3" fillId="10" borderId="2" xfId="0" applyFont="1" applyFill="1" applyBorder="1"/>
    <xf numFmtId="2" fontId="3" fillId="10" borderId="3" xfId="0" applyNumberFormat="1" applyFont="1" applyFill="1" applyBorder="1"/>
    <xf numFmtId="2" fontId="3" fillId="10" borderId="4" xfId="0" applyNumberFormat="1" applyFont="1" applyFill="1" applyBorder="1" applyAlignment="1">
      <alignment horizontal="right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justify" vertical="center" wrapText="1"/>
    </xf>
    <xf numFmtId="0" fontId="21" fillId="9" borderId="21" xfId="0" applyFont="1" applyFill="1" applyBorder="1" applyAlignment="1">
      <alignment horizontal="justify" vertical="center" wrapText="1"/>
    </xf>
    <xf numFmtId="0" fontId="21" fillId="0" borderId="21" xfId="0" applyFont="1" applyBorder="1" applyAlignment="1">
      <alignment horizontal="justify" vertical="center" wrapText="1"/>
    </xf>
    <xf numFmtId="0" fontId="21" fillId="9" borderId="30" xfId="0" applyFont="1" applyFill="1" applyBorder="1" applyAlignment="1">
      <alignment horizontal="justify" vertical="center" wrapText="1"/>
    </xf>
    <xf numFmtId="0" fontId="21" fillId="0" borderId="30" xfId="0" applyFont="1" applyBorder="1" applyAlignment="1">
      <alignment horizontal="justify" vertical="center" wrapText="1"/>
    </xf>
    <xf numFmtId="0" fontId="21" fillId="9" borderId="34" xfId="0" applyFont="1" applyFill="1" applyBorder="1" applyAlignment="1">
      <alignment horizontal="justify" vertical="center" wrapText="1"/>
    </xf>
    <xf numFmtId="0" fontId="11" fillId="0" borderId="0" xfId="0" applyFont="1" applyAlignment="1">
      <alignment horizontal="justify" vertical="center" wrapText="1"/>
    </xf>
    <xf numFmtId="0" fontId="21" fillId="9" borderId="35" xfId="0" applyFont="1" applyFill="1" applyBorder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2" borderId="0" xfId="0" applyFill="1"/>
    <xf numFmtId="0" fontId="21" fillId="9" borderId="5" xfId="0" applyFont="1" applyFill="1" applyBorder="1" applyAlignment="1">
      <alignment horizontal="justify" vertical="center" wrapText="1"/>
    </xf>
    <xf numFmtId="0" fontId="21" fillId="9" borderId="6" xfId="0" applyFont="1" applyFill="1" applyBorder="1" applyAlignment="1">
      <alignment horizontal="justify" vertical="center" wrapText="1"/>
    </xf>
    <xf numFmtId="0" fontId="21" fillId="0" borderId="6" xfId="0" applyFont="1" applyBorder="1" applyAlignment="1">
      <alignment horizontal="justify" vertical="center" wrapText="1"/>
    </xf>
    <xf numFmtId="0" fontId="21" fillId="9" borderId="7" xfId="0" applyFont="1" applyFill="1" applyBorder="1" applyAlignment="1">
      <alignment horizontal="justify" vertical="center" wrapText="1"/>
    </xf>
    <xf numFmtId="0" fontId="21" fillId="9" borderId="8" xfId="0" applyFont="1" applyFill="1" applyBorder="1" applyAlignment="1">
      <alignment horizontal="justify" vertical="center" wrapText="1"/>
    </xf>
    <xf numFmtId="0" fontId="21" fillId="9" borderId="9" xfId="0" applyFont="1" applyFill="1" applyBorder="1" applyAlignment="1">
      <alignment horizontal="justify" vertical="center" wrapText="1"/>
    </xf>
    <xf numFmtId="0" fontId="0" fillId="11" borderId="1" xfId="0" applyFill="1" applyBorder="1" applyAlignment="1">
      <alignment horizontal="left"/>
    </xf>
    <xf numFmtId="0" fontId="0" fillId="9" borderId="0" xfId="0" applyFill="1"/>
    <xf numFmtId="0" fontId="11" fillId="0" borderId="1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0" fontId="21" fillId="0" borderId="8" xfId="0" applyFont="1" applyBorder="1" applyAlignment="1">
      <alignment horizontal="justify" vertical="center" wrapText="1"/>
    </xf>
    <xf numFmtId="0" fontId="11" fillId="0" borderId="37" xfId="0" applyFont="1" applyBorder="1" applyAlignment="1">
      <alignment horizontal="justify" vertical="center" wrapText="1"/>
    </xf>
    <xf numFmtId="0" fontId="11" fillId="0" borderId="32" xfId="0" applyFont="1" applyBorder="1" applyAlignment="1">
      <alignment horizontal="justify" vertical="center" wrapText="1"/>
    </xf>
    <xf numFmtId="0" fontId="0" fillId="0" borderId="23" xfId="0" applyBorder="1"/>
    <xf numFmtId="0" fontId="3" fillId="17" borderId="2" xfId="0" applyFont="1" applyFill="1" applyBorder="1"/>
    <xf numFmtId="2" fontId="3" fillId="17" borderId="3" xfId="0" applyNumberFormat="1" applyFont="1" applyFill="1" applyBorder="1"/>
    <xf numFmtId="2" fontId="3" fillId="17" borderId="4" xfId="0" applyNumberFormat="1" applyFont="1" applyFill="1" applyBorder="1" applyAlignment="1">
      <alignment horizontal="right"/>
    </xf>
    <xf numFmtId="0" fontId="21" fillId="0" borderId="5" xfId="0" applyFont="1" applyBorder="1" applyAlignment="1">
      <alignment horizontal="justify" vertical="center" wrapText="1"/>
    </xf>
    <xf numFmtId="0" fontId="20" fillId="5" borderId="5" xfId="0" applyFont="1" applyFill="1" applyBorder="1" applyAlignment="1">
      <alignment horizontal="justify" vertical="center" wrapText="1"/>
    </xf>
    <xf numFmtId="0" fontId="20" fillId="5" borderId="1" xfId="0" applyFont="1" applyFill="1" applyBorder="1" applyAlignment="1">
      <alignment horizontal="justify" vertical="center" wrapText="1"/>
    </xf>
    <xf numFmtId="0" fontId="20" fillId="5" borderId="6" xfId="0" applyFont="1" applyFill="1" applyBorder="1" applyAlignment="1">
      <alignment horizontal="justify" vertical="center" wrapText="1"/>
    </xf>
    <xf numFmtId="0" fontId="21" fillId="5" borderId="5" xfId="0" applyFont="1" applyFill="1" applyBorder="1" applyAlignment="1">
      <alignment horizontal="justify" vertical="center" wrapText="1"/>
    </xf>
    <xf numFmtId="0" fontId="21" fillId="5" borderId="1" xfId="0" applyFont="1" applyFill="1" applyBorder="1" applyAlignment="1">
      <alignment horizontal="justify" vertical="center" wrapText="1"/>
    </xf>
    <xf numFmtId="0" fontId="21" fillId="5" borderId="6" xfId="0" applyFont="1" applyFill="1" applyBorder="1" applyAlignment="1">
      <alignment horizontal="justify" vertical="center" wrapText="1"/>
    </xf>
    <xf numFmtId="0" fontId="3" fillId="5" borderId="0" xfId="0" applyFont="1" applyFill="1"/>
    <xf numFmtId="0" fontId="21" fillId="7" borderId="5" xfId="0" applyFont="1" applyFill="1" applyBorder="1" applyAlignment="1">
      <alignment horizontal="justify" vertical="center" wrapText="1"/>
    </xf>
    <xf numFmtId="0" fontId="21" fillId="7" borderId="1" xfId="0" applyFont="1" applyFill="1" applyBorder="1" applyAlignment="1">
      <alignment horizontal="justify" vertical="center" wrapText="1"/>
    </xf>
    <xf numFmtId="0" fontId="21" fillId="7" borderId="6" xfId="0" applyFont="1" applyFill="1" applyBorder="1" applyAlignment="1">
      <alignment horizontal="justify" vertical="center" wrapText="1"/>
    </xf>
    <xf numFmtId="0" fontId="3" fillId="7" borderId="0" xfId="0" applyFont="1" applyFill="1"/>
    <xf numFmtId="0" fontId="21" fillId="4" borderId="5" xfId="0" applyFont="1" applyFill="1" applyBorder="1" applyAlignment="1">
      <alignment horizontal="justify" vertical="center" wrapText="1"/>
    </xf>
    <xf numFmtId="0" fontId="21" fillId="4" borderId="1" xfId="0" applyFont="1" applyFill="1" applyBorder="1" applyAlignment="1">
      <alignment horizontal="justify" vertical="center" wrapText="1"/>
    </xf>
    <xf numFmtId="0" fontId="21" fillId="4" borderId="6" xfId="0" applyFont="1" applyFill="1" applyBorder="1" applyAlignment="1">
      <alignment horizontal="justify" vertical="center" wrapText="1"/>
    </xf>
    <xf numFmtId="20" fontId="8" fillId="0" borderId="6" xfId="0" applyNumberFormat="1" applyFont="1" applyBorder="1"/>
    <xf numFmtId="0" fontId="3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18" borderId="21" xfId="0" applyFill="1" applyBorder="1"/>
    <xf numFmtId="0" fontId="0" fillId="18" borderId="22" xfId="0" applyFill="1" applyBorder="1"/>
    <xf numFmtId="0" fontId="1" fillId="0" borderId="1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20" fontId="7" fillId="0" borderId="8" xfId="0" applyNumberFormat="1" applyFont="1" applyBorder="1" applyAlignment="1">
      <alignment horizontal="center" vertical="center"/>
    </xf>
    <xf numFmtId="20" fontId="7" fillId="0" borderId="9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7" fillId="0" borderId="24" xfId="0" applyFont="1" applyBorder="1" applyAlignment="1">
      <alignment horizontal="center"/>
    </xf>
    <xf numFmtId="0" fontId="28" fillId="0" borderId="36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9" fillId="0" borderId="24" xfId="0" applyFont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0" fillId="0" borderId="27" xfId="0" applyBorder="1" applyAlignment="1">
      <alignment horizont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432FF"/>
      <color rgb="FF008F00"/>
      <color rgb="FFFF40FF"/>
      <color rgb="FF00FDFF"/>
      <color rgb="FFFF21B8"/>
      <color rgb="FFFF8AD8"/>
      <color rgb="FFED7D31"/>
      <color rgb="FF00FA00"/>
      <color rgb="FFD883FF"/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AN76"/>
  <sheetViews>
    <sheetView topLeftCell="Q1" zoomScale="106" zoomScaleNormal="160" workbookViewId="0">
      <selection activeCell="R34" sqref="R34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71.33203125" customWidth="1"/>
    <col min="16" max="16" width="3" customWidth="1"/>
    <col min="17" max="17" width="36.83203125" customWidth="1"/>
    <col min="18" max="18" width="78" customWidth="1"/>
    <col min="19" max="19" width="45" customWidth="1"/>
    <col min="20" max="20" width="9.5" bestFit="1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4.33203125" customWidth="1"/>
    <col min="28" max="33" width="3.83203125" customWidth="1"/>
    <col min="34" max="35" width="3.6640625" bestFit="1" customWidth="1"/>
    <col min="36" max="36" width="3.83203125" customWidth="1"/>
    <col min="37" max="37" width="4" customWidth="1"/>
    <col min="38" max="38" width="4.6640625" customWidth="1"/>
    <col min="39" max="39" width="3.83203125" customWidth="1"/>
    <col min="40" max="40" width="13.5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9:40" ht="16" customHeight="1"/>
    <row r="2" spans="9:40" ht="17" customHeight="1" thickBot="1">
      <c r="N2" s="179" t="s">
        <v>119</v>
      </c>
      <c r="O2" s="179"/>
    </row>
    <row r="3" spans="9:40" ht="17" customHeight="1" thickBot="1">
      <c r="I3" s="7"/>
      <c r="J3" s="26" t="s">
        <v>118</v>
      </c>
      <c r="K3" s="38"/>
      <c r="N3" s="179"/>
      <c r="O3" s="179"/>
    </row>
    <row r="4" spans="9:40" ht="17" customHeight="1" thickBot="1">
      <c r="I4" s="7" t="s">
        <v>0</v>
      </c>
      <c r="J4" s="3">
        <v>45727</v>
      </c>
      <c r="K4" s="181" t="s">
        <v>120</v>
      </c>
      <c r="N4" s="179"/>
      <c r="O4" s="179"/>
      <c r="S4" t="s">
        <v>123</v>
      </c>
      <c r="AA4" s="11" t="s">
        <v>108</v>
      </c>
      <c r="AC4" s="25"/>
      <c r="AD4" s="162" t="s">
        <v>107</v>
      </c>
      <c r="AE4" s="163"/>
      <c r="AF4" s="164"/>
      <c r="AG4" s="38"/>
      <c r="AH4" s="38"/>
      <c r="AI4" s="165" t="s">
        <v>114</v>
      </c>
      <c r="AJ4" s="166"/>
      <c r="AK4" s="167"/>
    </row>
    <row r="5" spans="9:40" ht="17" customHeight="1" thickBot="1">
      <c r="K5" s="182"/>
      <c r="L5" s="7" t="s">
        <v>2</v>
      </c>
      <c r="M5" s="4">
        <v>6</v>
      </c>
      <c r="N5" s="179"/>
      <c r="O5" s="179"/>
      <c r="S5" s="159" t="s">
        <v>58</v>
      </c>
      <c r="W5" s="76" t="s">
        <v>80</v>
      </c>
      <c r="X5" s="73" t="s">
        <v>77</v>
      </c>
      <c r="Y5" s="73" t="s">
        <v>75</v>
      </c>
      <c r="AA5" s="39"/>
      <c r="AB5" s="107">
        <v>1</v>
      </c>
      <c r="AC5" s="126">
        <v>2</v>
      </c>
      <c r="AD5" s="123">
        <v>3</v>
      </c>
      <c r="AE5" s="121">
        <v>4</v>
      </c>
      <c r="AF5" s="124">
        <v>5</v>
      </c>
      <c r="AG5" s="127">
        <v>6</v>
      </c>
      <c r="AH5" s="126">
        <v>7</v>
      </c>
      <c r="AI5" s="123">
        <v>8</v>
      </c>
      <c r="AJ5" s="121">
        <v>9</v>
      </c>
      <c r="AK5" s="124">
        <v>10</v>
      </c>
      <c r="AL5" s="127">
        <v>11</v>
      </c>
      <c r="AM5" s="63">
        <v>12</v>
      </c>
    </row>
    <row r="6" spans="9:40" ht="17" customHeight="1" thickBot="1">
      <c r="I6" s="173" t="s">
        <v>42</v>
      </c>
      <c r="J6" s="174"/>
      <c r="K6" s="182"/>
      <c r="N6" s="179"/>
      <c r="O6" s="179"/>
      <c r="S6" s="168"/>
      <c r="T6" s="43" t="s">
        <v>9</v>
      </c>
      <c r="U6" s="43" t="s">
        <v>10</v>
      </c>
      <c r="W6" s="18" t="s">
        <v>56</v>
      </c>
      <c r="X6" s="77" t="s">
        <v>76</v>
      </c>
      <c r="Y6" s="78">
        <v>399</v>
      </c>
      <c r="AA6" s="64" t="s">
        <v>33</v>
      </c>
      <c r="AB6" s="102"/>
      <c r="AC6" s="102"/>
      <c r="AD6" s="113"/>
      <c r="AE6" s="101"/>
      <c r="AF6" s="114"/>
      <c r="AG6" s="104"/>
      <c r="AH6" s="102"/>
      <c r="AI6" s="113"/>
      <c r="AJ6" s="101"/>
      <c r="AK6" s="114"/>
      <c r="AL6" s="104"/>
      <c r="AM6" s="104"/>
    </row>
    <row r="7" spans="9:40" ht="17" thickBot="1">
      <c r="I7" s="175"/>
      <c r="J7" s="176"/>
      <c r="K7" s="182"/>
      <c r="L7" s="177" t="s">
        <v>3</v>
      </c>
      <c r="M7" s="178"/>
      <c r="N7" s="179"/>
      <c r="O7" s="179"/>
      <c r="R7" s="27"/>
      <c r="S7" s="44" t="s">
        <v>41</v>
      </c>
      <c r="T7" s="45">
        <v>95</v>
      </c>
      <c r="U7" s="46">
        <v>8.3333333333333329E-2</v>
      </c>
      <c r="W7" s="18" t="s">
        <v>81</v>
      </c>
      <c r="X7" s="79" t="s">
        <v>70</v>
      </c>
      <c r="Y7" s="80">
        <v>478</v>
      </c>
      <c r="AA7" s="64" t="s">
        <v>34</v>
      </c>
      <c r="AB7" s="102"/>
      <c r="AC7" s="102"/>
      <c r="AD7" s="132"/>
      <c r="AE7" s="122"/>
      <c r="AF7" s="115"/>
      <c r="AG7" s="105"/>
      <c r="AH7" s="103"/>
      <c r="AI7" s="132"/>
      <c r="AJ7" s="122"/>
      <c r="AK7" s="115"/>
      <c r="AL7" s="104"/>
      <c r="AM7" s="104"/>
    </row>
    <row r="8" spans="9:40" ht="18" customHeight="1" thickBot="1">
      <c r="K8" t="s">
        <v>7</v>
      </c>
      <c r="L8" s="5">
        <v>1</v>
      </c>
      <c r="M8" s="10">
        <v>8</v>
      </c>
      <c r="N8" s="180"/>
      <c r="O8" s="180"/>
      <c r="S8" s="49" t="s">
        <v>29</v>
      </c>
      <c r="T8" s="1">
        <v>95</v>
      </c>
      <c r="U8" s="147">
        <v>1.3888888888888888E-2</v>
      </c>
      <c r="W8" s="18" t="s">
        <v>82</v>
      </c>
      <c r="X8" s="81" t="s">
        <v>71</v>
      </c>
      <c r="Y8" s="82">
        <v>479</v>
      </c>
      <c r="AA8" s="64" t="s">
        <v>35</v>
      </c>
      <c r="AB8" s="103"/>
      <c r="AC8" s="102"/>
      <c r="AD8" s="133"/>
      <c r="AE8" s="134"/>
      <c r="AF8" s="135"/>
      <c r="AG8" s="104"/>
      <c r="AH8" s="102"/>
      <c r="AI8" s="136"/>
      <c r="AJ8" s="137"/>
      <c r="AK8" s="138"/>
      <c r="AL8" s="105"/>
      <c r="AM8" s="105"/>
      <c r="AN8" s="139" t="s">
        <v>120</v>
      </c>
    </row>
    <row r="9" spans="9:40" ht="18" customHeight="1" thickBot="1">
      <c r="I9" s="8" t="s">
        <v>1</v>
      </c>
      <c r="J9" s="9" t="s">
        <v>21</v>
      </c>
      <c r="K9" s="9" t="s">
        <v>22</v>
      </c>
      <c r="L9" s="9" t="s">
        <v>12</v>
      </c>
      <c r="M9" s="22" t="s">
        <v>13</v>
      </c>
      <c r="N9" s="169" t="s">
        <v>23</v>
      </c>
      <c r="O9" s="170"/>
      <c r="Q9" s="33"/>
      <c r="S9" s="50" t="s">
        <v>30</v>
      </c>
      <c r="T9" s="61">
        <v>61</v>
      </c>
      <c r="U9" s="147">
        <v>4.1666666666666664E-2</v>
      </c>
      <c r="W9" s="18" t="s">
        <v>82</v>
      </c>
      <c r="X9" s="83" t="s">
        <v>72</v>
      </c>
      <c r="Y9" s="84">
        <v>480</v>
      </c>
      <c r="AA9" s="64" t="s">
        <v>36</v>
      </c>
      <c r="AB9" s="103"/>
      <c r="AC9" s="102"/>
      <c r="AD9" s="140"/>
      <c r="AE9" s="141"/>
      <c r="AF9" s="142"/>
      <c r="AG9" s="105"/>
      <c r="AH9" s="103"/>
      <c r="AI9" s="140"/>
      <c r="AJ9" s="141"/>
      <c r="AK9" s="142"/>
      <c r="AL9" s="105"/>
      <c r="AM9" s="105"/>
      <c r="AN9" s="143" t="s">
        <v>124</v>
      </c>
    </row>
    <row r="10" spans="9:40" ht="18" customHeight="1" thickBot="1">
      <c r="I10" s="2" t="s">
        <v>4</v>
      </c>
      <c r="J10" s="1"/>
      <c r="K10" s="1"/>
      <c r="L10" s="92">
        <f>L19-SUM(L11:L18)</f>
        <v>2.3500000000000014</v>
      </c>
      <c r="M10" s="91">
        <f>L10*$M$8</f>
        <v>18.800000000000011</v>
      </c>
      <c r="N10" s="28"/>
      <c r="O10" s="70" t="str">
        <f>I10</f>
        <v>Nuclease-free water</v>
      </c>
      <c r="R10" s="24"/>
      <c r="S10" s="51" t="s">
        <v>11</v>
      </c>
      <c r="T10" s="74">
        <v>40</v>
      </c>
      <c r="U10" s="52"/>
      <c r="W10" s="18" t="s">
        <v>82</v>
      </c>
      <c r="X10" s="85" t="s">
        <v>73</v>
      </c>
      <c r="Y10" s="86">
        <v>481</v>
      </c>
      <c r="AA10" s="64" t="s">
        <v>37</v>
      </c>
      <c r="AB10" s="102"/>
      <c r="AC10" s="102"/>
      <c r="AD10" s="144"/>
      <c r="AE10" s="145"/>
      <c r="AF10" s="146"/>
      <c r="AG10" s="105"/>
      <c r="AH10" s="103"/>
      <c r="AI10" s="144"/>
      <c r="AJ10" s="145"/>
      <c r="AK10" s="146"/>
      <c r="AL10" s="104"/>
      <c r="AM10" s="104"/>
      <c r="AN10" s="34" t="s">
        <v>125</v>
      </c>
    </row>
    <row r="11" spans="9:40" ht="18" customHeight="1" thickBot="1">
      <c r="I11" s="2" t="s">
        <v>62</v>
      </c>
      <c r="J11" s="95" t="s">
        <v>78</v>
      </c>
      <c r="K11" s="75">
        <f>L35</f>
        <v>0.5</v>
      </c>
      <c r="L11" s="21">
        <f>L19*L35/K35</f>
        <v>0.2</v>
      </c>
      <c r="M11" s="23">
        <f t="shared" ref="M11:M12" si="0">L11*$M$8</f>
        <v>1.6</v>
      </c>
      <c r="N11" s="28"/>
      <c r="O11" s="71" t="str">
        <f t="shared" ref="O11:O12" si="1">I11</f>
        <v>rpoB F Primer (MEP409)</v>
      </c>
      <c r="S11" s="47" t="s">
        <v>69</v>
      </c>
      <c r="T11" s="171" t="s">
        <v>44</v>
      </c>
      <c r="U11" s="172"/>
      <c r="W11" s="18" t="s">
        <v>83</v>
      </c>
      <c r="X11" s="87" t="s">
        <v>74</v>
      </c>
      <c r="Y11" s="88">
        <v>482</v>
      </c>
      <c r="AA11" s="64" t="s">
        <v>38</v>
      </c>
      <c r="AB11" s="102"/>
      <c r="AC11" s="102"/>
      <c r="AD11" s="132"/>
      <c r="AE11" s="122"/>
      <c r="AF11" s="115"/>
      <c r="AG11" s="105"/>
      <c r="AH11" s="103"/>
      <c r="AI11" s="132"/>
      <c r="AJ11" s="122"/>
      <c r="AK11" s="115"/>
      <c r="AL11" s="104"/>
      <c r="AM11" s="104"/>
    </row>
    <row r="12" spans="9:40" ht="18" customHeight="1" thickBot="1">
      <c r="I12" s="2" t="s">
        <v>63</v>
      </c>
      <c r="J12" s="95" t="s">
        <v>79</v>
      </c>
      <c r="K12" s="75">
        <f>L36</f>
        <v>0.05</v>
      </c>
      <c r="L12" s="21">
        <f>L19*L36/K36</f>
        <v>0.2</v>
      </c>
      <c r="M12" s="23">
        <f t="shared" si="0"/>
        <v>1.6</v>
      </c>
      <c r="N12" s="28"/>
      <c r="O12" s="71" t="str">
        <f t="shared" si="1"/>
        <v>rpoB R Primer (MEP410)</v>
      </c>
      <c r="R12" s="24"/>
      <c r="S12" s="48" t="s">
        <v>45</v>
      </c>
      <c r="T12" s="156" t="s">
        <v>43</v>
      </c>
      <c r="U12" s="157"/>
      <c r="W12" s="18" t="s">
        <v>56</v>
      </c>
      <c r="X12" s="99" t="s">
        <v>27</v>
      </c>
      <c r="Y12" s="100" t="s">
        <v>97</v>
      </c>
      <c r="AA12" s="64" t="s">
        <v>39</v>
      </c>
      <c r="AB12" s="106"/>
      <c r="AC12" s="102"/>
      <c r="AD12" s="113"/>
      <c r="AE12" s="122"/>
      <c r="AF12" s="114"/>
      <c r="AG12" s="104"/>
      <c r="AH12" s="103"/>
      <c r="AI12" s="113"/>
      <c r="AJ12" s="101"/>
      <c r="AK12" s="115"/>
      <c r="AL12" s="104"/>
      <c r="AM12" s="104"/>
    </row>
    <row r="13" spans="9:40" ht="17" customHeight="1" thickBot="1">
      <c r="I13" s="2" t="s">
        <v>47</v>
      </c>
      <c r="J13" s="20" t="s">
        <v>26</v>
      </c>
      <c r="K13" s="20" t="s">
        <v>24</v>
      </c>
      <c r="L13" s="21">
        <f>L19/2</f>
        <v>10</v>
      </c>
      <c r="M13" s="23">
        <f>L13*$M$8</f>
        <v>80</v>
      </c>
      <c r="N13" s="28"/>
      <c r="O13" s="71" t="str">
        <f>I13</f>
        <v>SensiFAST Probe No-ROX Kit</v>
      </c>
      <c r="R13" s="24"/>
      <c r="S13" s="158" t="s">
        <v>113</v>
      </c>
      <c r="T13" s="158"/>
      <c r="U13" s="158"/>
      <c r="AA13" s="64" t="s">
        <v>40</v>
      </c>
      <c r="AB13" s="108"/>
      <c r="AC13" s="102"/>
      <c r="AD13" s="116"/>
      <c r="AE13" s="125"/>
      <c r="AF13" s="118"/>
      <c r="AG13" s="104"/>
      <c r="AH13" s="103"/>
      <c r="AI13" s="116"/>
      <c r="AJ13" s="117"/>
      <c r="AK13" s="118"/>
      <c r="AL13" s="104"/>
      <c r="AM13" s="104"/>
    </row>
    <row r="14" spans="9:40" ht="18" customHeight="1">
      <c r="I14" s="2" t="s">
        <v>46</v>
      </c>
      <c r="J14" s="20" t="s">
        <v>48</v>
      </c>
      <c r="K14" s="72" t="s">
        <v>26</v>
      </c>
      <c r="L14" s="21">
        <f>L19*2/10</f>
        <v>4</v>
      </c>
      <c r="M14" s="151">
        <f>L14*$M$8</f>
        <v>32</v>
      </c>
      <c r="N14" s="28"/>
      <c r="O14" s="152" t="str">
        <f>I14</f>
        <v>LC Green Plus</v>
      </c>
      <c r="R14" s="24"/>
      <c r="S14" s="159"/>
      <c r="T14" s="159"/>
      <c r="U14" s="159"/>
      <c r="AA14" s="19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9:40" ht="18" customHeight="1" thickBot="1">
      <c r="I15" s="2"/>
      <c r="J15" s="20"/>
      <c r="K15" s="20"/>
      <c r="L15" s="31"/>
      <c r="M15" s="1"/>
      <c r="N15" s="128"/>
      <c r="O15" s="128"/>
      <c r="S15" s="159"/>
      <c r="T15" s="159"/>
      <c r="U15" s="159"/>
      <c r="W15" s="161" t="s">
        <v>100</v>
      </c>
      <c r="X15" s="153" t="s">
        <v>115</v>
      </c>
      <c r="Y15" s="153" t="s">
        <v>116</v>
      </c>
      <c r="AC15">
        <v>1</v>
      </c>
      <c r="AD15" t="s">
        <v>94</v>
      </c>
      <c r="AE15" s="35"/>
      <c r="AF15" s="35"/>
      <c r="AG15" s="35"/>
      <c r="AI15" s="19"/>
    </row>
    <row r="16" spans="9:40" ht="17" thickBot="1">
      <c r="I16" s="96" t="s">
        <v>121</v>
      </c>
      <c r="J16" s="93" t="s">
        <v>25</v>
      </c>
      <c r="K16" s="90">
        <v>0.125</v>
      </c>
      <c r="L16" s="97">
        <f>L19*K16/10</f>
        <v>0.25</v>
      </c>
      <c r="M16" s="98">
        <f>L16*$M$8</f>
        <v>2</v>
      </c>
      <c r="N16" s="96" t="s">
        <v>64</v>
      </c>
      <c r="W16" s="161"/>
      <c r="X16" s="153"/>
      <c r="Y16" s="153"/>
      <c r="AA16" s="94"/>
      <c r="AC16">
        <v>2</v>
      </c>
      <c r="AD16" t="s">
        <v>95</v>
      </c>
      <c r="AE16" s="35"/>
      <c r="AF16" s="35"/>
      <c r="AG16" s="35"/>
      <c r="AI16" s="19"/>
    </row>
    <row r="17" spans="9:35" ht="17" customHeight="1" thickBot="1">
      <c r="I17" s="129" t="s">
        <v>122</v>
      </c>
      <c r="J17" s="93" t="str">
        <f>J16</f>
        <v>10 uM</v>
      </c>
      <c r="K17" s="90">
        <v>0.5</v>
      </c>
      <c r="L17" s="130">
        <f>L19*K17/10</f>
        <v>1</v>
      </c>
      <c r="M17" s="131">
        <f>L17*$M$8</f>
        <v>8</v>
      </c>
      <c r="N17" s="129" t="s">
        <v>65</v>
      </c>
      <c r="S17" s="160" t="s">
        <v>105</v>
      </c>
      <c r="T17" s="160"/>
      <c r="U17" s="160"/>
      <c r="W17" s="139" t="s">
        <v>120</v>
      </c>
      <c r="X17" s="148">
        <v>2</v>
      </c>
      <c r="Y17" s="148">
        <v>8</v>
      </c>
      <c r="AC17">
        <v>3</v>
      </c>
      <c r="AD17" t="s">
        <v>84</v>
      </c>
      <c r="AE17" s="62"/>
    </row>
    <row r="18" spans="9:35" ht="16" customHeight="1">
      <c r="I18" s="30" t="s">
        <v>126</v>
      </c>
      <c r="J18" s="66" t="s">
        <v>61</v>
      </c>
      <c r="K18" s="65"/>
      <c r="L18" s="67">
        <v>2</v>
      </c>
      <c r="M18" s="68" t="s">
        <v>5</v>
      </c>
      <c r="N18" s="30" t="s">
        <v>32</v>
      </c>
      <c r="Q18" s="41"/>
      <c r="S18" s="154" t="s">
        <v>117</v>
      </c>
      <c r="T18" s="154"/>
      <c r="U18" s="154"/>
      <c r="W18" s="143" t="s">
        <v>124</v>
      </c>
      <c r="X18" s="149">
        <v>8</v>
      </c>
      <c r="Y18" s="149">
        <v>8</v>
      </c>
      <c r="AC18">
        <v>4</v>
      </c>
      <c r="AD18" s="19" t="s">
        <v>85</v>
      </c>
      <c r="AE18" s="19"/>
      <c r="AG18" s="62"/>
    </row>
    <row r="19" spans="9:35">
      <c r="K19" s="15" t="s">
        <v>8</v>
      </c>
      <c r="L19" s="16">
        <v>20</v>
      </c>
      <c r="M19" s="17"/>
      <c r="P19" s="41"/>
      <c r="S19" s="155"/>
      <c r="T19" s="155"/>
      <c r="U19" s="155"/>
      <c r="W19" s="34" t="s">
        <v>125</v>
      </c>
      <c r="X19" s="150">
        <v>16</v>
      </c>
      <c r="Y19" s="150">
        <v>8</v>
      </c>
      <c r="Z19" s="35"/>
    </row>
    <row r="20" spans="9:35" ht="16" customHeight="1">
      <c r="I20" t="s">
        <v>28</v>
      </c>
      <c r="K20" s="2" t="s">
        <v>7</v>
      </c>
      <c r="L20" s="110">
        <f>SUM(L10:L18)</f>
        <v>20</v>
      </c>
      <c r="M20" s="29">
        <f>SUM(M10:M16)</f>
        <v>136</v>
      </c>
      <c r="P20" s="33"/>
      <c r="S20" s="89"/>
      <c r="T20" s="89"/>
      <c r="U20" s="89"/>
      <c r="X20" s="35"/>
      <c r="Y20" s="35"/>
      <c r="Z20" s="35"/>
    </row>
    <row r="21" spans="9:35" ht="17" customHeight="1" thickBot="1">
      <c r="I21" t="s">
        <v>31</v>
      </c>
      <c r="K21" s="5" t="s">
        <v>6</v>
      </c>
      <c r="L21" s="6"/>
      <c r="M21" s="109">
        <f>SUM(L10:L15)</f>
        <v>16.75</v>
      </c>
      <c r="P21" s="42"/>
      <c r="S21" s="89"/>
    </row>
    <row r="22" spans="9:35" ht="16" customHeight="1">
      <c r="I22" t="s">
        <v>89</v>
      </c>
      <c r="O22" s="11"/>
      <c r="P22" s="33"/>
      <c r="X22" s="62"/>
      <c r="AD22" s="19"/>
      <c r="AE22" s="19"/>
      <c r="AG22" s="62"/>
    </row>
    <row r="23" spans="9:35">
      <c r="I23" t="s">
        <v>59</v>
      </c>
      <c r="J23" t="s">
        <v>68</v>
      </c>
      <c r="K23" t="s">
        <v>109</v>
      </c>
      <c r="W23" s="19"/>
      <c r="X23" s="19"/>
      <c r="Z23" s="62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9:35">
      <c r="I24" t="s">
        <v>96</v>
      </c>
      <c r="Q24" s="11"/>
      <c r="X24" s="19"/>
    </row>
    <row r="25" spans="9:35">
      <c r="I25" t="s">
        <v>101</v>
      </c>
    </row>
    <row r="26" spans="9:35" ht="17" customHeight="1">
      <c r="I26" s="19" t="s">
        <v>90</v>
      </c>
      <c r="W26" s="38"/>
      <c r="X26" s="19"/>
    </row>
    <row r="27" spans="9:35">
      <c r="I27" t="s">
        <v>110</v>
      </c>
      <c r="W27" s="19"/>
      <c r="X27" s="19"/>
    </row>
    <row r="28" spans="9:35" ht="16" customHeight="1">
      <c r="I28" t="s">
        <v>111</v>
      </c>
      <c r="W28" s="19"/>
    </row>
    <row r="29" spans="9:35" ht="15" customHeight="1">
      <c r="I29" t="s">
        <v>112</v>
      </c>
      <c r="K29" s="37"/>
      <c r="L29" s="111"/>
      <c r="M29" s="37"/>
      <c r="R29" s="24"/>
    </row>
    <row r="30" spans="9:35">
      <c r="K30" s="37"/>
      <c r="L30" s="37"/>
      <c r="M30" s="37"/>
      <c r="N30" s="37"/>
    </row>
    <row r="33" spans="9:18" ht="16" customHeight="1">
      <c r="I33" s="19"/>
    </row>
    <row r="34" spans="9:18" ht="17">
      <c r="I34" s="11" t="s">
        <v>1</v>
      </c>
      <c r="J34" s="11" t="s">
        <v>17</v>
      </c>
      <c r="K34" s="11" t="s">
        <v>18</v>
      </c>
      <c r="L34" s="11" t="s">
        <v>20</v>
      </c>
      <c r="M34" s="11" t="s">
        <v>19</v>
      </c>
      <c r="N34" s="11"/>
      <c r="O34" s="13" t="s">
        <v>16</v>
      </c>
      <c r="Q34" s="32" t="s">
        <v>14</v>
      </c>
      <c r="R34" s="11" t="s">
        <v>15</v>
      </c>
    </row>
    <row r="35" spans="9:18">
      <c r="I35" s="2" t="s">
        <v>66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40"/>
      <c r="R35" s="12"/>
    </row>
    <row r="36" spans="9:18" ht="17">
      <c r="I36" s="2" t="s">
        <v>67</v>
      </c>
      <c r="J36" s="1">
        <v>100</v>
      </c>
      <c r="K36" s="1">
        <v>5</v>
      </c>
      <c r="L36" s="1">
        <v>0.05</v>
      </c>
      <c r="M36" s="1">
        <f t="shared" ref="M36" si="2">L36*1000</f>
        <v>50</v>
      </c>
      <c r="N36" s="1"/>
      <c r="O36" s="1">
        <f>($L$19*L36)/K36</f>
        <v>0.2</v>
      </c>
      <c r="P36" s="53"/>
      <c r="Q36" s="40"/>
      <c r="R36" s="12"/>
    </row>
    <row r="37" spans="9:18" ht="17">
      <c r="P37" s="60"/>
    </row>
    <row r="38" spans="9:18" ht="54">
      <c r="I38" s="53" t="s">
        <v>49</v>
      </c>
      <c r="J38" s="53" t="s">
        <v>50</v>
      </c>
      <c r="K38" s="53" t="s">
        <v>51</v>
      </c>
      <c r="L38" s="53" t="s">
        <v>52</v>
      </c>
      <c r="M38" s="53" t="s">
        <v>53</v>
      </c>
      <c r="N38" s="53" t="s">
        <v>54</v>
      </c>
      <c r="O38" s="53" t="s">
        <v>55</v>
      </c>
      <c r="P38" s="60"/>
      <c r="Q38" s="53"/>
      <c r="R38" s="53"/>
    </row>
    <row r="39" spans="9:18" ht="17">
      <c r="I39" s="54"/>
      <c r="J39" s="55"/>
      <c r="K39" s="56"/>
      <c r="L39" s="56"/>
      <c r="M39" s="57"/>
      <c r="N39" s="58"/>
      <c r="O39" s="60"/>
      <c r="Q39" s="60"/>
      <c r="R39" s="60"/>
    </row>
    <row r="40" spans="9:18" ht="17">
      <c r="I40" s="54"/>
      <c r="J40" s="59"/>
      <c r="K40" s="69"/>
      <c r="L40" s="69"/>
      <c r="M40" s="57"/>
      <c r="N40" s="54"/>
      <c r="O40" s="60"/>
      <c r="Q40" s="60"/>
      <c r="R40" s="60"/>
    </row>
    <row r="41" spans="9:18">
      <c r="I41" t="s">
        <v>60</v>
      </c>
    </row>
    <row r="42" spans="9:18">
      <c r="I42" t="s">
        <v>57</v>
      </c>
    </row>
    <row r="43" spans="9:18" ht="15" customHeight="1"/>
    <row r="44" spans="9:18" ht="15" customHeight="1">
      <c r="I44" t="s">
        <v>104</v>
      </c>
    </row>
    <row r="45" spans="9:18" ht="35" customHeight="1">
      <c r="I45" s="19" t="s">
        <v>86</v>
      </c>
    </row>
    <row r="46" spans="9:18" ht="33" customHeight="1">
      <c r="I46" s="19" t="s">
        <v>102</v>
      </c>
    </row>
    <row r="47" spans="9:18">
      <c r="I47" s="19" t="s">
        <v>92</v>
      </c>
    </row>
    <row r="48" spans="9:18">
      <c r="I48" s="19" t="s">
        <v>91</v>
      </c>
    </row>
    <row r="49" spans="9:15">
      <c r="I49" s="19" t="s">
        <v>93</v>
      </c>
    </row>
    <row r="50" spans="9:15">
      <c r="I50" s="19" t="s">
        <v>98</v>
      </c>
    </row>
    <row r="51" spans="9:15">
      <c r="I51" s="19" t="s">
        <v>99</v>
      </c>
      <c r="O51" s="119" t="s">
        <v>106</v>
      </c>
    </row>
    <row r="52" spans="9:15">
      <c r="I52" s="19" t="s">
        <v>87</v>
      </c>
      <c r="K52" t="s">
        <v>88</v>
      </c>
      <c r="N52" s="120"/>
      <c r="O52" s="112" t="s">
        <v>103</v>
      </c>
    </row>
    <row r="56" spans="9:15" ht="16" customHeight="1"/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17">
    <mergeCell ref="I6:J6"/>
    <mergeCell ref="I7:J7"/>
    <mergeCell ref="L7:M7"/>
    <mergeCell ref="N2:O8"/>
    <mergeCell ref="K4:K7"/>
    <mergeCell ref="AD4:AF4"/>
    <mergeCell ref="AI4:AK4"/>
    <mergeCell ref="S5:S6"/>
    <mergeCell ref="N9:O9"/>
    <mergeCell ref="T11:U11"/>
    <mergeCell ref="X15:X16"/>
    <mergeCell ref="Y15:Y16"/>
    <mergeCell ref="S18:U19"/>
    <mergeCell ref="T12:U12"/>
    <mergeCell ref="S13:U15"/>
    <mergeCell ref="S17:U17"/>
    <mergeCell ref="W15:W16"/>
  </mergeCells>
  <phoneticPr fontId="9" type="noConversion"/>
  <pageMargins left="0.7" right="0.7" top="0.75" bottom="0.75" header="0.3" footer="0.3"/>
  <pageSetup scale="47"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84CF-6A04-2148-942D-E713E21E8789}">
  <sheetPr>
    <pageSetUpPr fitToPage="1"/>
  </sheetPr>
  <dimension ref="H1:AN76"/>
  <sheetViews>
    <sheetView zoomScale="106" zoomScaleNormal="160" workbookViewId="0">
      <selection activeCell="J20" sqref="J20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71.33203125" customWidth="1"/>
    <col min="16" max="16" width="3" customWidth="1"/>
    <col min="17" max="17" width="36.83203125" customWidth="1"/>
    <col min="18" max="18" width="78" customWidth="1"/>
    <col min="19" max="19" width="45" customWidth="1"/>
    <col min="20" max="20" width="9.5" bestFit="1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4.33203125" customWidth="1"/>
    <col min="28" max="33" width="3.83203125" customWidth="1"/>
    <col min="34" max="35" width="3.6640625" bestFit="1" customWidth="1"/>
    <col min="36" max="36" width="3.83203125" customWidth="1"/>
    <col min="37" max="37" width="4" customWidth="1"/>
    <col min="38" max="38" width="4.6640625" customWidth="1"/>
    <col min="39" max="39" width="3.83203125" customWidth="1"/>
    <col min="40" max="40" width="13.5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9:40" ht="16" customHeight="1"/>
    <row r="2" spans="9:40" ht="17" customHeight="1" thickBot="1"/>
    <row r="3" spans="9:40" ht="17" customHeight="1" thickBot="1">
      <c r="I3" s="7"/>
      <c r="J3" s="26" t="s">
        <v>118</v>
      </c>
      <c r="K3" s="38"/>
    </row>
    <row r="4" spans="9:40" ht="17" customHeight="1" thickBot="1">
      <c r="I4" s="7" t="s">
        <v>0</v>
      </c>
      <c r="J4" s="3">
        <v>45727</v>
      </c>
      <c r="K4" s="181" t="s">
        <v>124</v>
      </c>
      <c r="S4" t="s">
        <v>123</v>
      </c>
      <c r="AA4" s="11" t="s">
        <v>108</v>
      </c>
      <c r="AC4" s="25"/>
      <c r="AD4" s="162" t="s">
        <v>107</v>
      </c>
      <c r="AE4" s="163"/>
      <c r="AF4" s="164"/>
      <c r="AG4" s="38"/>
      <c r="AH4" s="38"/>
      <c r="AI4" s="165" t="s">
        <v>114</v>
      </c>
      <c r="AJ4" s="166"/>
      <c r="AK4" s="167"/>
    </row>
    <row r="5" spans="9:40" ht="17" customHeight="1" thickBot="1">
      <c r="K5" s="182"/>
      <c r="L5" s="7" t="s">
        <v>2</v>
      </c>
      <c r="M5" s="4">
        <v>6</v>
      </c>
      <c r="S5" s="159" t="s">
        <v>58</v>
      </c>
      <c r="W5" s="76" t="s">
        <v>80</v>
      </c>
      <c r="X5" s="73" t="s">
        <v>77</v>
      </c>
      <c r="Y5" s="73" t="s">
        <v>75</v>
      </c>
      <c r="AA5" s="39"/>
      <c r="AB5" s="107">
        <v>1</v>
      </c>
      <c r="AC5" s="126">
        <v>2</v>
      </c>
      <c r="AD5" s="123">
        <v>3</v>
      </c>
      <c r="AE5" s="121">
        <v>4</v>
      </c>
      <c r="AF5" s="124">
        <v>5</v>
      </c>
      <c r="AG5" s="127">
        <v>6</v>
      </c>
      <c r="AH5" s="126">
        <v>7</v>
      </c>
      <c r="AI5" s="123">
        <v>8</v>
      </c>
      <c r="AJ5" s="121">
        <v>9</v>
      </c>
      <c r="AK5" s="124">
        <v>10</v>
      </c>
      <c r="AL5" s="127">
        <v>11</v>
      </c>
      <c r="AM5" s="63">
        <v>12</v>
      </c>
    </row>
    <row r="6" spans="9:40" ht="17" customHeight="1" thickBot="1">
      <c r="I6" s="173" t="s">
        <v>42</v>
      </c>
      <c r="J6" s="174"/>
      <c r="K6" s="182"/>
      <c r="S6" s="168"/>
      <c r="T6" s="43" t="s">
        <v>9</v>
      </c>
      <c r="U6" s="43" t="s">
        <v>10</v>
      </c>
      <c r="W6" s="18" t="s">
        <v>56</v>
      </c>
      <c r="X6" s="77" t="s">
        <v>76</v>
      </c>
      <c r="Y6" s="78">
        <v>399</v>
      </c>
      <c r="AA6" s="64" t="s">
        <v>33</v>
      </c>
      <c r="AB6" s="102"/>
      <c r="AC6" s="102"/>
      <c r="AD6" s="113"/>
      <c r="AE6" s="101"/>
      <c r="AF6" s="114"/>
      <c r="AG6" s="104"/>
      <c r="AH6" s="102"/>
      <c r="AI6" s="113"/>
      <c r="AJ6" s="101"/>
      <c r="AK6" s="114"/>
      <c r="AL6" s="104"/>
      <c r="AM6" s="104"/>
    </row>
    <row r="7" spans="9:40" ht="17" thickBot="1">
      <c r="I7" s="175"/>
      <c r="J7" s="176"/>
      <c r="K7" s="182"/>
      <c r="L7" s="177" t="s">
        <v>3</v>
      </c>
      <c r="M7" s="178"/>
      <c r="R7" s="27"/>
      <c r="S7" s="44" t="s">
        <v>41</v>
      </c>
      <c r="T7" s="45">
        <v>95</v>
      </c>
      <c r="U7" s="46">
        <v>8.3333333333333329E-2</v>
      </c>
      <c r="W7" s="18" t="s">
        <v>81</v>
      </c>
      <c r="X7" s="79" t="s">
        <v>70</v>
      </c>
      <c r="Y7" s="80">
        <v>478</v>
      </c>
      <c r="AA7" s="64" t="s">
        <v>34</v>
      </c>
      <c r="AB7" s="102"/>
      <c r="AC7" s="102"/>
      <c r="AD7" s="132"/>
      <c r="AE7" s="122"/>
      <c r="AF7" s="115"/>
      <c r="AG7" s="105"/>
      <c r="AH7" s="103"/>
      <c r="AI7" s="132"/>
      <c r="AJ7" s="122"/>
      <c r="AK7" s="115"/>
      <c r="AL7" s="104"/>
      <c r="AM7" s="104"/>
    </row>
    <row r="8" spans="9:40" ht="18" customHeight="1" thickBot="1">
      <c r="K8" t="s">
        <v>7</v>
      </c>
      <c r="L8" s="5">
        <v>1</v>
      </c>
      <c r="M8" s="10">
        <v>8</v>
      </c>
      <c r="S8" s="49" t="s">
        <v>29</v>
      </c>
      <c r="T8" s="1">
        <v>95</v>
      </c>
      <c r="U8" s="147">
        <v>1.3888888888888888E-2</v>
      </c>
      <c r="W8" s="18" t="s">
        <v>82</v>
      </c>
      <c r="X8" s="81" t="s">
        <v>71</v>
      </c>
      <c r="Y8" s="82">
        <v>479</v>
      </c>
      <c r="AA8" s="64" t="s">
        <v>35</v>
      </c>
      <c r="AB8" s="103"/>
      <c r="AC8" s="102"/>
      <c r="AD8" s="133"/>
      <c r="AE8" s="134"/>
      <c r="AF8" s="135"/>
      <c r="AG8" s="104"/>
      <c r="AH8" s="102"/>
      <c r="AI8" s="136"/>
      <c r="AJ8" s="137"/>
      <c r="AK8" s="138"/>
      <c r="AL8" s="105"/>
      <c r="AM8" s="105"/>
      <c r="AN8" s="139" t="s">
        <v>120</v>
      </c>
    </row>
    <row r="9" spans="9:40" ht="18" customHeight="1" thickBot="1">
      <c r="I9" s="8" t="s">
        <v>1</v>
      </c>
      <c r="J9" s="9" t="s">
        <v>21</v>
      </c>
      <c r="K9" s="9" t="s">
        <v>22</v>
      </c>
      <c r="L9" s="9" t="s">
        <v>12</v>
      </c>
      <c r="M9" s="22" t="s">
        <v>13</v>
      </c>
      <c r="N9" s="169" t="s">
        <v>23</v>
      </c>
      <c r="O9" s="170"/>
      <c r="Q9" s="33"/>
      <c r="S9" s="50" t="s">
        <v>30</v>
      </c>
      <c r="T9" s="61">
        <v>61</v>
      </c>
      <c r="U9" s="147">
        <v>4.1666666666666664E-2</v>
      </c>
      <c r="W9" s="18" t="s">
        <v>82</v>
      </c>
      <c r="X9" s="83" t="s">
        <v>72</v>
      </c>
      <c r="Y9" s="84">
        <v>480</v>
      </c>
      <c r="AA9" s="64" t="s">
        <v>36</v>
      </c>
      <c r="AB9" s="103"/>
      <c r="AC9" s="102"/>
      <c r="AD9" s="140"/>
      <c r="AE9" s="141"/>
      <c r="AF9" s="142"/>
      <c r="AG9" s="105"/>
      <c r="AH9" s="103"/>
      <c r="AI9" s="140"/>
      <c r="AJ9" s="141"/>
      <c r="AK9" s="142"/>
      <c r="AL9" s="105"/>
      <c r="AM9" s="105"/>
      <c r="AN9" s="143" t="s">
        <v>124</v>
      </c>
    </row>
    <row r="10" spans="9:40" ht="18" customHeight="1" thickBot="1">
      <c r="I10" s="2" t="s">
        <v>4</v>
      </c>
      <c r="J10" s="1"/>
      <c r="K10" s="1"/>
      <c r="L10" s="92">
        <f>L19-SUM(L11:L18)</f>
        <v>1.6000000000000014</v>
      </c>
      <c r="M10" s="91">
        <f>L10*$M$8</f>
        <v>12.800000000000011</v>
      </c>
      <c r="N10" s="28"/>
      <c r="O10" s="70" t="str">
        <f>I10</f>
        <v>Nuclease-free water</v>
      </c>
      <c r="R10" s="24"/>
      <c r="S10" s="51" t="s">
        <v>11</v>
      </c>
      <c r="T10" s="74">
        <v>40</v>
      </c>
      <c r="U10" s="52"/>
      <c r="W10" s="18" t="s">
        <v>82</v>
      </c>
      <c r="X10" s="85" t="s">
        <v>73</v>
      </c>
      <c r="Y10" s="86">
        <v>481</v>
      </c>
      <c r="AA10" s="64" t="s">
        <v>37</v>
      </c>
      <c r="AB10" s="102"/>
      <c r="AC10" s="102"/>
      <c r="AD10" s="144"/>
      <c r="AE10" s="145"/>
      <c r="AF10" s="146"/>
      <c r="AG10" s="105"/>
      <c r="AH10" s="103"/>
      <c r="AI10" s="144"/>
      <c r="AJ10" s="145"/>
      <c r="AK10" s="146"/>
      <c r="AL10" s="104"/>
      <c r="AM10" s="104"/>
      <c r="AN10" s="34" t="s">
        <v>125</v>
      </c>
    </row>
    <row r="11" spans="9:40" ht="18" customHeight="1" thickBot="1">
      <c r="I11" s="2" t="s">
        <v>62</v>
      </c>
      <c r="J11" s="95" t="s">
        <v>78</v>
      </c>
      <c r="K11" s="75">
        <f>L35</f>
        <v>0.5</v>
      </c>
      <c r="L11" s="21">
        <f>L19*L35/K35</f>
        <v>0.2</v>
      </c>
      <c r="M11" s="23">
        <f t="shared" ref="M11:M12" si="0">L11*$M$8</f>
        <v>1.6</v>
      </c>
      <c r="N11" s="28"/>
      <c r="O11" s="71" t="str">
        <f t="shared" ref="O11:O12" si="1">I11</f>
        <v>rpoB F Primer (MEP409)</v>
      </c>
      <c r="S11" s="47" t="s">
        <v>69</v>
      </c>
      <c r="T11" s="171" t="s">
        <v>44</v>
      </c>
      <c r="U11" s="172"/>
      <c r="W11" s="18" t="s">
        <v>83</v>
      </c>
      <c r="X11" s="87" t="s">
        <v>74</v>
      </c>
      <c r="Y11" s="88">
        <v>482</v>
      </c>
      <c r="AA11" s="64" t="s">
        <v>38</v>
      </c>
      <c r="AB11" s="102"/>
      <c r="AC11" s="102"/>
      <c r="AD11" s="132"/>
      <c r="AE11" s="122"/>
      <c r="AF11" s="115"/>
      <c r="AG11" s="105"/>
      <c r="AH11" s="103"/>
      <c r="AI11" s="132"/>
      <c r="AJ11" s="122"/>
      <c r="AK11" s="115"/>
      <c r="AL11" s="104"/>
      <c r="AM11" s="104"/>
    </row>
    <row r="12" spans="9:40" ht="18" customHeight="1" thickBot="1">
      <c r="I12" s="2" t="s">
        <v>63</v>
      </c>
      <c r="J12" s="95" t="s">
        <v>79</v>
      </c>
      <c r="K12" s="75">
        <f>L36</f>
        <v>0.05</v>
      </c>
      <c r="L12" s="21">
        <f>L19*L36/K36</f>
        <v>0.2</v>
      </c>
      <c r="M12" s="23">
        <f t="shared" si="0"/>
        <v>1.6</v>
      </c>
      <c r="N12" s="28"/>
      <c r="O12" s="71" t="str">
        <f t="shared" si="1"/>
        <v>rpoB R Primer (MEP410)</v>
      </c>
      <c r="R12" s="24"/>
      <c r="S12" s="48" t="s">
        <v>45</v>
      </c>
      <c r="T12" s="156" t="s">
        <v>43</v>
      </c>
      <c r="U12" s="157"/>
      <c r="W12" s="18" t="s">
        <v>56</v>
      </c>
      <c r="X12" s="99" t="s">
        <v>27</v>
      </c>
      <c r="Y12" s="100" t="s">
        <v>97</v>
      </c>
      <c r="AA12" s="64" t="s">
        <v>39</v>
      </c>
      <c r="AB12" s="106"/>
      <c r="AC12" s="102"/>
      <c r="AD12" s="113"/>
      <c r="AE12" s="122"/>
      <c r="AF12" s="114"/>
      <c r="AG12" s="104"/>
      <c r="AH12" s="103"/>
      <c r="AI12" s="113"/>
      <c r="AJ12" s="101"/>
      <c r="AK12" s="115"/>
      <c r="AL12" s="104"/>
      <c r="AM12" s="104"/>
    </row>
    <row r="13" spans="9:40" ht="17" customHeight="1" thickBot="1">
      <c r="I13" s="2" t="s">
        <v>47</v>
      </c>
      <c r="J13" s="20" t="s">
        <v>26</v>
      </c>
      <c r="K13" s="20" t="s">
        <v>24</v>
      </c>
      <c r="L13" s="21">
        <f>L19/2</f>
        <v>10</v>
      </c>
      <c r="M13" s="23">
        <f>L13*$M$8</f>
        <v>80</v>
      </c>
      <c r="N13" s="28"/>
      <c r="O13" s="71" t="str">
        <f>I13</f>
        <v>SensiFAST Probe No-ROX Kit</v>
      </c>
      <c r="R13" s="24"/>
      <c r="S13" s="158" t="s">
        <v>113</v>
      </c>
      <c r="T13" s="158"/>
      <c r="U13" s="158"/>
      <c r="AA13" s="64" t="s">
        <v>40</v>
      </c>
      <c r="AB13" s="108"/>
      <c r="AC13" s="102"/>
      <c r="AD13" s="116"/>
      <c r="AE13" s="125"/>
      <c r="AF13" s="118"/>
      <c r="AG13" s="104"/>
      <c r="AH13" s="103"/>
      <c r="AI13" s="116"/>
      <c r="AJ13" s="117"/>
      <c r="AK13" s="118"/>
      <c r="AL13" s="104"/>
      <c r="AM13" s="104"/>
    </row>
    <row r="14" spans="9:40" ht="18" customHeight="1">
      <c r="I14" s="2" t="s">
        <v>46</v>
      </c>
      <c r="J14" s="20" t="s">
        <v>48</v>
      </c>
      <c r="K14" s="72" t="s">
        <v>26</v>
      </c>
      <c r="L14" s="21">
        <f>L19*2/10</f>
        <v>4</v>
      </c>
      <c r="M14" s="151">
        <f>L14*$M$8</f>
        <v>32</v>
      </c>
      <c r="N14" s="28"/>
      <c r="O14" s="152" t="str">
        <f>I14</f>
        <v>LC Green Plus</v>
      </c>
      <c r="R14" s="24"/>
      <c r="S14" s="159"/>
      <c r="T14" s="159"/>
      <c r="U14" s="159"/>
      <c r="AA14" s="19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9:40" ht="18" customHeight="1" thickBot="1">
      <c r="I15" s="2"/>
      <c r="J15" s="20"/>
      <c r="K15" s="20"/>
      <c r="L15" s="31"/>
      <c r="M15" s="1"/>
      <c r="N15" s="128"/>
      <c r="O15" s="128"/>
      <c r="S15" s="159"/>
      <c r="T15" s="159"/>
      <c r="U15" s="159"/>
      <c r="W15" s="161" t="s">
        <v>100</v>
      </c>
      <c r="X15" s="153" t="s">
        <v>115</v>
      </c>
      <c r="Y15" s="153" t="s">
        <v>116</v>
      </c>
      <c r="AC15">
        <v>1</v>
      </c>
      <c r="AD15" t="s">
        <v>94</v>
      </c>
      <c r="AE15" s="35"/>
      <c r="AF15" s="35"/>
      <c r="AG15" s="35"/>
      <c r="AI15" s="19"/>
    </row>
    <row r="16" spans="9:40" ht="17" thickBot="1">
      <c r="I16" s="96" t="s">
        <v>121</v>
      </c>
      <c r="J16" s="93" t="s">
        <v>25</v>
      </c>
      <c r="K16" s="90">
        <v>0.5</v>
      </c>
      <c r="L16" s="97">
        <f>L19*K16/10</f>
        <v>1</v>
      </c>
      <c r="M16" s="98">
        <f>L16*$M$8</f>
        <v>8</v>
      </c>
      <c r="N16" s="96" t="s">
        <v>64</v>
      </c>
      <c r="W16" s="161"/>
      <c r="X16" s="153"/>
      <c r="Y16" s="153"/>
      <c r="AA16" s="94"/>
      <c r="AC16">
        <v>2</v>
      </c>
      <c r="AD16" t="s">
        <v>95</v>
      </c>
      <c r="AE16" s="35"/>
      <c r="AF16" s="35"/>
      <c r="AG16" s="35"/>
      <c r="AI16" s="19"/>
    </row>
    <row r="17" spans="9:35" ht="17" customHeight="1" thickBot="1">
      <c r="I17" s="129" t="s">
        <v>122</v>
      </c>
      <c r="J17" s="93" t="str">
        <f>J16</f>
        <v>10 uM</v>
      </c>
      <c r="K17" s="90">
        <v>0.5</v>
      </c>
      <c r="L17" s="130">
        <f>L19*K17/10</f>
        <v>1</v>
      </c>
      <c r="M17" s="131">
        <f>L17*$M$8</f>
        <v>8</v>
      </c>
      <c r="N17" s="129" t="s">
        <v>65</v>
      </c>
      <c r="S17" s="160" t="s">
        <v>105</v>
      </c>
      <c r="T17" s="160"/>
      <c r="U17" s="160"/>
      <c r="W17" s="139" t="s">
        <v>120</v>
      </c>
      <c r="X17" s="148">
        <v>2</v>
      </c>
      <c r="Y17" s="148">
        <v>8</v>
      </c>
      <c r="AC17">
        <v>3</v>
      </c>
      <c r="AD17" t="s">
        <v>84</v>
      </c>
      <c r="AE17" s="62"/>
    </row>
    <row r="18" spans="9:35" ht="16" customHeight="1">
      <c r="I18" s="30" t="s">
        <v>126</v>
      </c>
      <c r="J18" s="66" t="s">
        <v>61</v>
      </c>
      <c r="K18" s="65"/>
      <c r="L18" s="67">
        <v>2</v>
      </c>
      <c r="M18" s="68" t="s">
        <v>5</v>
      </c>
      <c r="N18" s="30" t="s">
        <v>32</v>
      </c>
      <c r="Q18" s="41"/>
      <c r="S18" s="154" t="s">
        <v>117</v>
      </c>
      <c r="T18" s="154"/>
      <c r="U18" s="154"/>
      <c r="W18" s="143" t="s">
        <v>124</v>
      </c>
      <c r="X18" s="149">
        <v>8</v>
      </c>
      <c r="Y18" s="149">
        <v>8</v>
      </c>
      <c r="AC18">
        <v>4</v>
      </c>
      <c r="AD18" s="19" t="s">
        <v>85</v>
      </c>
      <c r="AE18" s="19"/>
      <c r="AG18" s="62"/>
    </row>
    <row r="19" spans="9:35">
      <c r="K19" s="15" t="s">
        <v>8</v>
      </c>
      <c r="L19" s="16">
        <v>20</v>
      </c>
      <c r="M19" s="17"/>
      <c r="P19" s="41"/>
      <c r="S19" s="155"/>
      <c r="T19" s="155"/>
      <c r="U19" s="155"/>
      <c r="W19" s="34" t="s">
        <v>125</v>
      </c>
      <c r="X19" s="150">
        <v>16</v>
      </c>
      <c r="Y19" s="150">
        <v>8</v>
      </c>
      <c r="Z19" s="35"/>
    </row>
    <row r="20" spans="9:35" ht="16" customHeight="1">
      <c r="K20" s="2" t="s">
        <v>7</v>
      </c>
      <c r="L20" s="110">
        <f>SUM(L10:L18)</f>
        <v>20</v>
      </c>
      <c r="M20" s="29">
        <f>SUM(M10:M16)</f>
        <v>136</v>
      </c>
      <c r="P20" s="33"/>
      <c r="S20" s="89"/>
      <c r="T20" s="89"/>
      <c r="U20" s="89"/>
      <c r="X20" s="35"/>
      <c r="Y20" s="35"/>
      <c r="Z20" s="35"/>
    </row>
    <row r="21" spans="9:35" ht="17" customHeight="1" thickBot="1">
      <c r="K21" s="5" t="s">
        <v>6</v>
      </c>
      <c r="L21" s="6"/>
      <c r="M21" s="109">
        <f>SUM(L10:L15)</f>
        <v>16</v>
      </c>
      <c r="P21" s="42"/>
      <c r="S21" s="89"/>
    </row>
    <row r="22" spans="9:35" ht="16" customHeight="1">
      <c r="O22" s="11"/>
      <c r="P22" s="33"/>
      <c r="X22" s="62"/>
      <c r="AD22" s="19"/>
      <c r="AE22" s="19"/>
      <c r="AG22" s="62"/>
    </row>
    <row r="23" spans="9:35">
      <c r="W23" s="19"/>
      <c r="X23" s="19"/>
      <c r="Z23" s="62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9:35">
      <c r="Q24" s="11"/>
      <c r="X24" s="19"/>
    </row>
    <row r="26" spans="9:35" ht="17" customHeight="1">
      <c r="I26" s="19"/>
      <c r="W26" s="38"/>
      <c r="X26" s="19"/>
    </row>
    <row r="27" spans="9:35">
      <c r="W27" s="19"/>
      <c r="X27" s="19"/>
    </row>
    <row r="28" spans="9:35" ht="16" customHeight="1">
      <c r="W28" s="19"/>
    </row>
    <row r="29" spans="9:35" ht="15" customHeight="1">
      <c r="K29" s="37"/>
      <c r="L29" s="111"/>
      <c r="M29" s="37"/>
      <c r="R29" s="24"/>
    </row>
    <row r="30" spans="9:35">
      <c r="K30" s="37"/>
      <c r="L30" s="37"/>
      <c r="M30" s="37"/>
      <c r="N30" s="37"/>
    </row>
    <row r="33" spans="9:18" ht="16" customHeight="1">
      <c r="I33" s="19"/>
    </row>
    <row r="34" spans="9:18" ht="17">
      <c r="I34" s="11" t="s">
        <v>1</v>
      </c>
      <c r="J34" s="11" t="s">
        <v>17</v>
      </c>
      <c r="K34" s="11" t="s">
        <v>18</v>
      </c>
      <c r="L34" s="11" t="s">
        <v>20</v>
      </c>
      <c r="M34" s="11" t="s">
        <v>19</v>
      </c>
      <c r="N34" s="11"/>
      <c r="O34" s="13" t="s">
        <v>16</v>
      </c>
      <c r="Q34" s="32" t="s">
        <v>14</v>
      </c>
      <c r="R34" s="11" t="s">
        <v>15</v>
      </c>
    </row>
    <row r="35" spans="9:18">
      <c r="I35" s="2" t="s">
        <v>66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40"/>
      <c r="R35" s="12"/>
    </row>
    <row r="36" spans="9:18" ht="17">
      <c r="I36" s="2" t="s">
        <v>67</v>
      </c>
      <c r="J36" s="1">
        <v>100</v>
      </c>
      <c r="K36" s="1">
        <v>5</v>
      </c>
      <c r="L36" s="1">
        <v>0.05</v>
      </c>
      <c r="M36" s="1">
        <f t="shared" ref="M36" si="2">L36*1000</f>
        <v>50</v>
      </c>
      <c r="N36" s="1"/>
      <c r="O36" s="1">
        <f>($L$19*L36)/K36</f>
        <v>0.2</v>
      </c>
      <c r="P36" s="53"/>
      <c r="Q36" s="40"/>
      <c r="R36" s="12"/>
    </row>
    <row r="37" spans="9:18" ht="17">
      <c r="P37" s="60"/>
    </row>
    <row r="38" spans="9:18" ht="54">
      <c r="I38" s="53" t="s">
        <v>49</v>
      </c>
      <c r="J38" s="53" t="s">
        <v>50</v>
      </c>
      <c r="K38" s="53" t="s">
        <v>51</v>
      </c>
      <c r="L38" s="53" t="s">
        <v>52</v>
      </c>
      <c r="M38" s="53" t="s">
        <v>53</v>
      </c>
      <c r="N38" s="53" t="s">
        <v>54</v>
      </c>
      <c r="O38" s="53" t="s">
        <v>55</v>
      </c>
      <c r="P38" s="60"/>
      <c r="Q38" s="53"/>
      <c r="R38" s="53"/>
    </row>
    <row r="39" spans="9:18" ht="17">
      <c r="I39" s="54"/>
      <c r="J39" s="55"/>
      <c r="K39" s="56"/>
      <c r="L39" s="56"/>
      <c r="M39" s="57"/>
      <c r="N39" s="58"/>
      <c r="O39" s="60"/>
      <c r="Q39" s="60"/>
      <c r="R39" s="60"/>
    </row>
    <row r="40" spans="9:18" ht="17">
      <c r="I40" s="54"/>
      <c r="J40" s="59"/>
      <c r="K40" s="69"/>
      <c r="L40" s="69"/>
      <c r="M40" s="57"/>
      <c r="N40" s="54"/>
      <c r="O40" s="60"/>
      <c r="Q40" s="60"/>
      <c r="R40" s="60"/>
    </row>
    <row r="41" spans="9:18">
      <c r="I41" t="s">
        <v>60</v>
      </c>
    </row>
    <row r="42" spans="9:18">
      <c r="I42" t="s">
        <v>57</v>
      </c>
    </row>
    <row r="43" spans="9:18" ht="15" customHeight="1"/>
    <row r="44" spans="9:18" ht="15" customHeight="1">
      <c r="I44" t="s">
        <v>104</v>
      </c>
    </row>
    <row r="45" spans="9:18" ht="35" customHeight="1">
      <c r="I45" s="19" t="s">
        <v>86</v>
      </c>
    </row>
    <row r="46" spans="9:18" ht="33" customHeight="1">
      <c r="I46" s="19" t="s">
        <v>102</v>
      </c>
    </row>
    <row r="47" spans="9:18">
      <c r="I47" s="19" t="s">
        <v>92</v>
      </c>
    </row>
    <row r="48" spans="9:18">
      <c r="I48" s="19" t="s">
        <v>91</v>
      </c>
    </row>
    <row r="49" spans="9:15">
      <c r="I49" s="19" t="s">
        <v>93</v>
      </c>
    </row>
    <row r="50" spans="9:15">
      <c r="I50" s="19" t="s">
        <v>98</v>
      </c>
    </row>
    <row r="51" spans="9:15">
      <c r="I51" s="19" t="s">
        <v>99</v>
      </c>
      <c r="O51" s="119" t="s">
        <v>106</v>
      </c>
    </row>
    <row r="52" spans="9:15">
      <c r="I52" s="19" t="s">
        <v>87</v>
      </c>
      <c r="K52" t="s">
        <v>88</v>
      </c>
      <c r="N52" s="120"/>
      <c r="O52" s="112" t="s">
        <v>103</v>
      </c>
    </row>
    <row r="56" spans="9:15" ht="16" customHeight="1"/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16">
    <mergeCell ref="K4:K7"/>
    <mergeCell ref="AD4:AF4"/>
    <mergeCell ref="AI4:AK4"/>
    <mergeCell ref="S5:S6"/>
    <mergeCell ref="I6:J6"/>
    <mergeCell ref="I7:J7"/>
    <mergeCell ref="L7:M7"/>
    <mergeCell ref="Y15:Y16"/>
    <mergeCell ref="S17:U17"/>
    <mergeCell ref="S18:U19"/>
    <mergeCell ref="N9:O9"/>
    <mergeCell ref="T11:U11"/>
    <mergeCell ref="T12:U12"/>
    <mergeCell ref="S13:U15"/>
    <mergeCell ref="W15:W16"/>
    <mergeCell ref="X15:X16"/>
  </mergeCells>
  <pageMargins left="0.7" right="0.7" top="0.75" bottom="0.75" header="0.3" footer="0.3"/>
  <pageSetup scale="41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9F30-3C7A-0E4B-9B2F-7AC6CCA9D61E}">
  <sheetPr>
    <pageSetUpPr fitToPage="1"/>
  </sheetPr>
  <dimension ref="H1:AN76"/>
  <sheetViews>
    <sheetView tabSelected="1" zoomScale="106" zoomScaleNormal="160" workbookViewId="0">
      <selection activeCell="I3" sqref="I3:O21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71.33203125" customWidth="1"/>
    <col min="16" max="16" width="3" customWidth="1"/>
    <col min="17" max="17" width="36.83203125" customWidth="1"/>
    <col min="18" max="18" width="78" customWidth="1"/>
    <col min="19" max="19" width="45" customWidth="1"/>
    <col min="20" max="20" width="9.5" bestFit="1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4.33203125" customWidth="1"/>
    <col min="28" max="33" width="3.83203125" customWidth="1"/>
    <col min="34" max="35" width="3.6640625" bestFit="1" customWidth="1"/>
    <col min="36" max="36" width="3.83203125" customWidth="1"/>
    <col min="37" max="37" width="4" customWidth="1"/>
    <col min="38" max="38" width="4.6640625" customWidth="1"/>
    <col min="39" max="39" width="3.83203125" customWidth="1"/>
    <col min="40" max="40" width="13.5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9:40" ht="16" customHeight="1"/>
    <row r="2" spans="9:40" ht="17" customHeight="1" thickBot="1"/>
    <row r="3" spans="9:40" ht="17" customHeight="1" thickBot="1">
      <c r="I3" s="7"/>
      <c r="J3" s="26" t="s">
        <v>118</v>
      </c>
      <c r="K3" s="38"/>
    </row>
    <row r="4" spans="9:40" ht="17" customHeight="1" thickBot="1">
      <c r="I4" s="7" t="s">
        <v>0</v>
      </c>
      <c r="J4" s="3">
        <v>45727</v>
      </c>
      <c r="K4" s="181" t="s">
        <v>125</v>
      </c>
      <c r="S4" t="s">
        <v>123</v>
      </c>
      <c r="AA4" s="11" t="s">
        <v>108</v>
      </c>
      <c r="AC4" s="25"/>
      <c r="AD4" s="162" t="s">
        <v>107</v>
      </c>
      <c r="AE4" s="163"/>
      <c r="AF4" s="164"/>
      <c r="AG4" s="38"/>
      <c r="AH4" s="38"/>
      <c r="AI4" s="165" t="s">
        <v>114</v>
      </c>
      <c r="AJ4" s="166"/>
      <c r="AK4" s="167"/>
    </row>
    <row r="5" spans="9:40" ht="17" customHeight="1" thickBot="1">
      <c r="K5" s="182"/>
      <c r="L5" s="7" t="s">
        <v>2</v>
      </c>
      <c r="M5" s="4">
        <v>6</v>
      </c>
      <c r="S5" s="159" t="s">
        <v>58</v>
      </c>
      <c r="W5" s="76" t="s">
        <v>80</v>
      </c>
      <c r="X5" s="73" t="s">
        <v>77</v>
      </c>
      <c r="Y5" s="73" t="s">
        <v>75</v>
      </c>
      <c r="AA5" s="39"/>
      <c r="AB5" s="107">
        <v>1</v>
      </c>
      <c r="AC5" s="126">
        <v>2</v>
      </c>
      <c r="AD5" s="123">
        <v>3</v>
      </c>
      <c r="AE5" s="121">
        <v>4</v>
      </c>
      <c r="AF5" s="124">
        <v>5</v>
      </c>
      <c r="AG5" s="127">
        <v>6</v>
      </c>
      <c r="AH5" s="126">
        <v>7</v>
      </c>
      <c r="AI5" s="123">
        <v>8</v>
      </c>
      <c r="AJ5" s="121">
        <v>9</v>
      </c>
      <c r="AK5" s="124">
        <v>10</v>
      </c>
      <c r="AL5" s="127">
        <v>11</v>
      </c>
      <c r="AM5" s="63">
        <v>12</v>
      </c>
    </row>
    <row r="6" spans="9:40" ht="17" customHeight="1" thickBot="1">
      <c r="I6" s="173" t="s">
        <v>42</v>
      </c>
      <c r="J6" s="174"/>
      <c r="K6" s="182"/>
      <c r="S6" s="168"/>
      <c r="T6" s="43" t="s">
        <v>9</v>
      </c>
      <c r="U6" s="43" t="s">
        <v>10</v>
      </c>
      <c r="W6" s="18" t="s">
        <v>56</v>
      </c>
      <c r="X6" s="77" t="s">
        <v>76</v>
      </c>
      <c r="Y6" s="78">
        <v>399</v>
      </c>
      <c r="AA6" s="64" t="s">
        <v>33</v>
      </c>
      <c r="AB6" s="102"/>
      <c r="AC6" s="102"/>
      <c r="AD6" s="113"/>
      <c r="AE6" s="101"/>
      <c r="AF6" s="114"/>
      <c r="AG6" s="104"/>
      <c r="AH6" s="102"/>
      <c r="AI6" s="113"/>
      <c r="AJ6" s="101"/>
      <c r="AK6" s="114"/>
      <c r="AL6" s="104"/>
      <c r="AM6" s="104"/>
    </row>
    <row r="7" spans="9:40" ht="17" thickBot="1">
      <c r="I7" s="175"/>
      <c r="J7" s="176"/>
      <c r="K7" s="182"/>
      <c r="L7" s="177" t="s">
        <v>3</v>
      </c>
      <c r="M7" s="178"/>
      <c r="R7" s="27"/>
      <c r="S7" s="44" t="s">
        <v>41</v>
      </c>
      <c r="T7" s="45">
        <v>95</v>
      </c>
      <c r="U7" s="46">
        <v>8.3333333333333329E-2</v>
      </c>
      <c r="W7" s="18" t="s">
        <v>81</v>
      </c>
      <c r="X7" s="79" t="s">
        <v>70</v>
      </c>
      <c r="Y7" s="80">
        <v>478</v>
      </c>
      <c r="AA7" s="64" t="s">
        <v>34</v>
      </c>
      <c r="AB7" s="102"/>
      <c r="AC7" s="102"/>
      <c r="AD7" s="132"/>
      <c r="AE7" s="122"/>
      <c r="AF7" s="115"/>
      <c r="AG7" s="105"/>
      <c r="AH7" s="103"/>
      <c r="AI7" s="132"/>
      <c r="AJ7" s="122"/>
      <c r="AK7" s="115"/>
      <c r="AL7" s="104"/>
      <c r="AM7" s="104"/>
    </row>
    <row r="8" spans="9:40" ht="18" customHeight="1" thickBot="1">
      <c r="K8" t="s">
        <v>7</v>
      </c>
      <c r="L8" s="5">
        <v>1</v>
      </c>
      <c r="M8" s="10">
        <v>8</v>
      </c>
      <c r="S8" s="49" t="s">
        <v>29</v>
      </c>
      <c r="T8" s="1">
        <v>95</v>
      </c>
      <c r="U8" s="147">
        <v>1.3888888888888888E-2</v>
      </c>
      <c r="W8" s="18" t="s">
        <v>82</v>
      </c>
      <c r="X8" s="81" t="s">
        <v>71</v>
      </c>
      <c r="Y8" s="82">
        <v>479</v>
      </c>
      <c r="AA8" s="64" t="s">
        <v>35</v>
      </c>
      <c r="AB8" s="103"/>
      <c r="AC8" s="102"/>
      <c r="AD8" s="133"/>
      <c r="AE8" s="134"/>
      <c r="AF8" s="135"/>
      <c r="AG8" s="104"/>
      <c r="AH8" s="102"/>
      <c r="AI8" s="136"/>
      <c r="AJ8" s="137"/>
      <c r="AK8" s="138"/>
      <c r="AL8" s="105"/>
      <c r="AM8" s="105"/>
      <c r="AN8" s="139" t="s">
        <v>120</v>
      </c>
    </row>
    <row r="9" spans="9:40" ht="18" customHeight="1" thickBot="1">
      <c r="I9" s="8" t="s">
        <v>1</v>
      </c>
      <c r="J9" s="9" t="s">
        <v>21</v>
      </c>
      <c r="K9" s="9" t="s">
        <v>22</v>
      </c>
      <c r="L9" s="9" t="s">
        <v>12</v>
      </c>
      <c r="M9" s="22" t="s">
        <v>13</v>
      </c>
      <c r="N9" s="169" t="s">
        <v>23</v>
      </c>
      <c r="O9" s="170"/>
      <c r="Q9" s="33"/>
      <c r="S9" s="50" t="s">
        <v>30</v>
      </c>
      <c r="T9" s="61">
        <v>61</v>
      </c>
      <c r="U9" s="147">
        <v>4.1666666666666664E-2</v>
      </c>
      <c r="W9" s="18" t="s">
        <v>82</v>
      </c>
      <c r="X9" s="83" t="s">
        <v>72</v>
      </c>
      <c r="Y9" s="84">
        <v>480</v>
      </c>
      <c r="AA9" s="64" t="s">
        <v>36</v>
      </c>
      <c r="AB9" s="103"/>
      <c r="AC9" s="102"/>
      <c r="AD9" s="140"/>
      <c r="AE9" s="141"/>
      <c r="AF9" s="142"/>
      <c r="AG9" s="105"/>
      <c r="AH9" s="103"/>
      <c r="AI9" s="140"/>
      <c r="AJ9" s="141"/>
      <c r="AK9" s="142"/>
      <c r="AL9" s="105"/>
      <c r="AM9" s="105"/>
      <c r="AN9" s="143" t="s">
        <v>124</v>
      </c>
    </row>
    <row r="10" spans="9:40" ht="18" customHeight="1" thickBot="1">
      <c r="I10" s="2" t="s">
        <v>4</v>
      </c>
      <c r="J10" s="1"/>
      <c r="K10" s="1"/>
      <c r="L10" s="92">
        <f>L19-SUM(L11:L18)</f>
        <v>0.60000000000000142</v>
      </c>
      <c r="M10" s="91">
        <f>L10*$M$8</f>
        <v>4.8000000000000114</v>
      </c>
      <c r="N10" s="28"/>
      <c r="O10" s="70" t="str">
        <f>I10</f>
        <v>Nuclease-free water</v>
      </c>
      <c r="R10" s="24"/>
      <c r="S10" s="51" t="s">
        <v>11</v>
      </c>
      <c r="T10" s="74">
        <v>40</v>
      </c>
      <c r="U10" s="52"/>
      <c r="W10" s="18" t="s">
        <v>82</v>
      </c>
      <c r="X10" s="85" t="s">
        <v>73</v>
      </c>
      <c r="Y10" s="86">
        <v>481</v>
      </c>
      <c r="AA10" s="64" t="s">
        <v>37</v>
      </c>
      <c r="AB10" s="102"/>
      <c r="AC10" s="102"/>
      <c r="AD10" s="144"/>
      <c r="AE10" s="145"/>
      <c r="AF10" s="146"/>
      <c r="AG10" s="105"/>
      <c r="AH10" s="103"/>
      <c r="AI10" s="144"/>
      <c r="AJ10" s="145"/>
      <c r="AK10" s="146"/>
      <c r="AL10" s="104"/>
      <c r="AM10" s="104"/>
      <c r="AN10" s="34" t="s">
        <v>125</v>
      </c>
    </row>
    <row r="11" spans="9:40" ht="18" customHeight="1" thickBot="1">
      <c r="I11" s="2" t="s">
        <v>62</v>
      </c>
      <c r="J11" s="95" t="s">
        <v>78</v>
      </c>
      <c r="K11" s="75">
        <f>L35</f>
        <v>0.5</v>
      </c>
      <c r="L11" s="21">
        <f>L19*L35/K35</f>
        <v>0.2</v>
      </c>
      <c r="M11" s="23">
        <f t="shared" ref="M11:M12" si="0">L11*$M$8</f>
        <v>1.6</v>
      </c>
      <c r="N11" s="28"/>
      <c r="O11" s="71" t="str">
        <f t="shared" ref="O11:O12" si="1">I11</f>
        <v>rpoB F Primer (MEP409)</v>
      </c>
      <c r="S11" s="47" t="s">
        <v>69</v>
      </c>
      <c r="T11" s="171" t="s">
        <v>44</v>
      </c>
      <c r="U11" s="172"/>
      <c r="W11" s="18" t="s">
        <v>83</v>
      </c>
      <c r="X11" s="87" t="s">
        <v>74</v>
      </c>
      <c r="Y11" s="88">
        <v>482</v>
      </c>
      <c r="AA11" s="64" t="s">
        <v>38</v>
      </c>
      <c r="AB11" s="102"/>
      <c r="AC11" s="102"/>
      <c r="AD11" s="132"/>
      <c r="AE11" s="122"/>
      <c r="AF11" s="115"/>
      <c r="AG11" s="105"/>
      <c r="AH11" s="103"/>
      <c r="AI11" s="132"/>
      <c r="AJ11" s="122"/>
      <c r="AK11" s="115"/>
      <c r="AL11" s="104"/>
      <c r="AM11" s="104"/>
    </row>
    <row r="12" spans="9:40" ht="18" customHeight="1" thickBot="1">
      <c r="I12" s="2" t="s">
        <v>63</v>
      </c>
      <c r="J12" s="95" t="s">
        <v>79</v>
      </c>
      <c r="K12" s="75">
        <f>L36</f>
        <v>0.05</v>
      </c>
      <c r="L12" s="21">
        <f>L19*L36/K36</f>
        <v>0.2</v>
      </c>
      <c r="M12" s="23">
        <f t="shared" si="0"/>
        <v>1.6</v>
      </c>
      <c r="N12" s="28"/>
      <c r="O12" s="71" t="str">
        <f t="shared" si="1"/>
        <v>rpoB R Primer (MEP410)</v>
      </c>
      <c r="R12" s="24"/>
      <c r="S12" s="48" t="s">
        <v>45</v>
      </c>
      <c r="T12" s="156" t="s">
        <v>43</v>
      </c>
      <c r="U12" s="157"/>
      <c r="W12" s="18" t="s">
        <v>56</v>
      </c>
      <c r="X12" s="99" t="s">
        <v>27</v>
      </c>
      <c r="Y12" s="100" t="s">
        <v>97</v>
      </c>
      <c r="AA12" s="64" t="s">
        <v>39</v>
      </c>
      <c r="AB12" s="106"/>
      <c r="AC12" s="102"/>
      <c r="AD12" s="113"/>
      <c r="AE12" s="122"/>
      <c r="AF12" s="114"/>
      <c r="AG12" s="104"/>
      <c r="AH12" s="103"/>
      <c r="AI12" s="113"/>
      <c r="AJ12" s="101"/>
      <c r="AK12" s="115"/>
      <c r="AL12" s="104"/>
      <c r="AM12" s="104"/>
    </row>
    <row r="13" spans="9:40" ht="17" customHeight="1" thickBot="1">
      <c r="I13" s="2" t="s">
        <v>47</v>
      </c>
      <c r="J13" s="20" t="s">
        <v>26</v>
      </c>
      <c r="K13" s="20" t="s">
        <v>24</v>
      </c>
      <c r="L13" s="21">
        <f>L19/2</f>
        <v>10</v>
      </c>
      <c r="M13" s="23">
        <f>L13*$M$8</f>
        <v>80</v>
      </c>
      <c r="N13" s="28"/>
      <c r="O13" s="71" t="str">
        <f>I13</f>
        <v>SensiFAST Probe No-ROX Kit</v>
      </c>
      <c r="R13" s="24"/>
      <c r="S13" s="158" t="s">
        <v>113</v>
      </c>
      <c r="T13" s="158"/>
      <c r="U13" s="158"/>
      <c r="AA13" s="64" t="s">
        <v>40</v>
      </c>
      <c r="AB13" s="108"/>
      <c r="AC13" s="102"/>
      <c r="AD13" s="116"/>
      <c r="AE13" s="125"/>
      <c r="AF13" s="118"/>
      <c r="AG13" s="104"/>
      <c r="AH13" s="103"/>
      <c r="AI13" s="116"/>
      <c r="AJ13" s="117"/>
      <c r="AK13" s="118"/>
      <c r="AL13" s="104"/>
      <c r="AM13" s="104"/>
    </row>
    <row r="14" spans="9:40" ht="18" customHeight="1">
      <c r="I14" s="2" t="s">
        <v>46</v>
      </c>
      <c r="J14" s="20" t="s">
        <v>48</v>
      </c>
      <c r="K14" s="72" t="s">
        <v>26</v>
      </c>
      <c r="L14" s="21">
        <f>L19*2/10</f>
        <v>4</v>
      </c>
      <c r="M14" s="151">
        <f>L14*$M$8</f>
        <v>32</v>
      </c>
      <c r="N14" s="28"/>
      <c r="O14" s="152" t="str">
        <f>I14</f>
        <v>LC Green Plus</v>
      </c>
      <c r="R14" s="24"/>
      <c r="S14" s="159"/>
      <c r="T14" s="159"/>
      <c r="U14" s="159"/>
      <c r="AA14" s="19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9:40" ht="18" customHeight="1" thickBot="1">
      <c r="I15" s="2"/>
      <c r="J15" s="20"/>
      <c r="K15" s="20"/>
      <c r="L15" s="31"/>
      <c r="M15" s="1"/>
      <c r="N15" s="128"/>
      <c r="O15" s="128"/>
      <c r="S15" s="159"/>
      <c r="T15" s="159"/>
      <c r="U15" s="159"/>
      <c r="W15" s="161" t="s">
        <v>100</v>
      </c>
      <c r="X15" s="153" t="s">
        <v>115</v>
      </c>
      <c r="Y15" s="153" t="s">
        <v>116</v>
      </c>
      <c r="AC15">
        <v>1</v>
      </c>
      <c r="AD15" t="s">
        <v>94</v>
      </c>
      <c r="AE15" s="35"/>
      <c r="AF15" s="35"/>
      <c r="AG15" s="35"/>
      <c r="AI15" s="19"/>
    </row>
    <row r="16" spans="9:40" ht="17" thickBot="1">
      <c r="I16" s="96" t="s">
        <v>121</v>
      </c>
      <c r="J16" s="93" t="s">
        <v>25</v>
      </c>
      <c r="K16" s="90">
        <v>1</v>
      </c>
      <c r="L16" s="97">
        <f>L19*K16/10</f>
        <v>2</v>
      </c>
      <c r="M16" s="98">
        <f>L16*$M$8</f>
        <v>16</v>
      </c>
      <c r="N16" s="96" t="s">
        <v>64</v>
      </c>
      <c r="W16" s="161"/>
      <c r="X16" s="153"/>
      <c r="Y16" s="153"/>
      <c r="AA16" s="94"/>
      <c r="AC16">
        <v>2</v>
      </c>
      <c r="AD16" t="s">
        <v>95</v>
      </c>
      <c r="AE16" s="35"/>
      <c r="AF16" s="35"/>
      <c r="AG16" s="35"/>
      <c r="AI16" s="19"/>
    </row>
    <row r="17" spans="9:35" ht="17" customHeight="1" thickBot="1">
      <c r="I17" s="129" t="s">
        <v>122</v>
      </c>
      <c r="J17" s="93" t="str">
        <f>J16</f>
        <v>10 uM</v>
      </c>
      <c r="K17" s="90">
        <v>0.5</v>
      </c>
      <c r="L17" s="130">
        <f>L19*K17/10</f>
        <v>1</v>
      </c>
      <c r="M17" s="131">
        <f>L17*$M$8</f>
        <v>8</v>
      </c>
      <c r="N17" s="129" t="s">
        <v>65</v>
      </c>
      <c r="S17" s="160" t="s">
        <v>105</v>
      </c>
      <c r="T17" s="160"/>
      <c r="U17" s="160"/>
      <c r="W17" s="139" t="s">
        <v>120</v>
      </c>
      <c r="X17" s="148">
        <v>2</v>
      </c>
      <c r="Y17" s="148">
        <v>8</v>
      </c>
      <c r="AC17">
        <v>3</v>
      </c>
      <c r="AD17" t="s">
        <v>84</v>
      </c>
      <c r="AE17" s="62"/>
    </row>
    <row r="18" spans="9:35" ht="16" customHeight="1">
      <c r="I18" s="30" t="s">
        <v>126</v>
      </c>
      <c r="J18" s="66" t="s">
        <v>61</v>
      </c>
      <c r="K18" s="65"/>
      <c r="L18" s="67">
        <v>2</v>
      </c>
      <c r="M18" s="68" t="s">
        <v>5</v>
      </c>
      <c r="N18" s="30" t="s">
        <v>32</v>
      </c>
      <c r="Q18" s="41"/>
      <c r="S18" s="154" t="s">
        <v>117</v>
      </c>
      <c r="T18" s="154"/>
      <c r="U18" s="154"/>
      <c r="W18" s="143" t="s">
        <v>124</v>
      </c>
      <c r="X18" s="149">
        <v>8</v>
      </c>
      <c r="Y18" s="149">
        <v>8</v>
      </c>
      <c r="AC18">
        <v>4</v>
      </c>
      <c r="AD18" s="19" t="s">
        <v>85</v>
      </c>
      <c r="AE18" s="19"/>
      <c r="AG18" s="62"/>
    </row>
    <row r="19" spans="9:35">
      <c r="K19" s="15" t="s">
        <v>8</v>
      </c>
      <c r="L19" s="16">
        <v>20</v>
      </c>
      <c r="M19" s="17"/>
      <c r="P19" s="41"/>
      <c r="S19" s="155"/>
      <c r="T19" s="155"/>
      <c r="U19" s="155"/>
      <c r="W19" s="34" t="s">
        <v>125</v>
      </c>
      <c r="X19" s="150">
        <v>16</v>
      </c>
      <c r="Y19" s="150">
        <v>8</v>
      </c>
      <c r="Z19" s="35"/>
    </row>
    <row r="20" spans="9:35" ht="16" customHeight="1">
      <c r="K20" s="2" t="s">
        <v>7</v>
      </c>
      <c r="L20" s="110">
        <f>SUM(L10:L18)</f>
        <v>20</v>
      </c>
      <c r="M20" s="29">
        <f>SUM(M10:M16)</f>
        <v>136</v>
      </c>
      <c r="P20" s="33"/>
      <c r="S20" s="89"/>
      <c r="T20" s="89"/>
      <c r="U20" s="89"/>
      <c r="X20" s="35"/>
      <c r="Y20" s="35"/>
      <c r="Z20" s="35"/>
    </row>
    <row r="21" spans="9:35" ht="17" customHeight="1" thickBot="1">
      <c r="K21" s="5" t="s">
        <v>6</v>
      </c>
      <c r="L21" s="6"/>
      <c r="M21" s="109">
        <f>SUM(L10:L15)</f>
        <v>15.000000000000002</v>
      </c>
      <c r="P21" s="42"/>
      <c r="S21" s="89"/>
    </row>
    <row r="22" spans="9:35" ht="16" customHeight="1">
      <c r="O22" s="11"/>
      <c r="P22" s="33"/>
      <c r="X22" s="62"/>
      <c r="AD22" s="19"/>
      <c r="AE22" s="19"/>
      <c r="AG22" s="62"/>
    </row>
    <row r="23" spans="9:35">
      <c r="W23" s="19"/>
      <c r="X23" s="19"/>
      <c r="Z23" s="62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9:35">
      <c r="Q24" s="11"/>
      <c r="X24" s="19"/>
    </row>
    <row r="26" spans="9:35" ht="17" customHeight="1">
      <c r="I26" s="19"/>
      <c r="W26" s="38"/>
      <c r="X26" s="19"/>
    </row>
    <row r="27" spans="9:35">
      <c r="W27" s="19"/>
      <c r="X27" s="19"/>
    </row>
    <row r="28" spans="9:35" ht="16" customHeight="1">
      <c r="W28" s="19"/>
    </row>
    <row r="29" spans="9:35" ht="15" customHeight="1">
      <c r="K29" s="37"/>
      <c r="L29" s="111"/>
      <c r="M29" s="37"/>
      <c r="R29" s="24"/>
    </row>
    <row r="30" spans="9:35">
      <c r="K30" s="37"/>
      <c r="L30" s="37"/>
      <c r="M30" s="37"/>
      <c r="N30" s="37"/>
    </row>
    <row r="33" spans="9:18" ht="16" customHeight="1">
      <c r="I33" s="19"/>
    </row>
    <row r="34" spans="9:18" ht="17">
      <c r="I34" s="11" t="s">
        <v>1</v>
      </c>
      <c r="J34" s="11" t="s">
        <v>17</v>
      </c>
      <c r="K34" s="11" t="s">
        <v>18</v>
      </c>
      <c r="L34" s="11" t="s">
        <v>20</v>
      </c>
      <c r="M34" s="11" t="s">
        <v>19</v>
      </c>
      <c r="N34" s="11"/>
      <c r="O34" s="13" t="s">
        <v>16</v>
      </c>
      <c r="Q34" s="32" t="s">
        <v>14</v>
      </c>
      <c r="R34" s="11" t="s">
        <v>15</v>
      </c>
    </row>
    <row r="35" spans="9:18">
      <c r="I35" s="2" t="s">
        <v>66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40"/>
      <c r="R35" s="12"/>
    </row>
    <row r="36" spans="9:18" ht="17">
      <c r="I36" s="2" t="s">
        <v>67</v>
      </c>
      <c r="J36" s="1">
        <v>100</v>
      </c>
      <c r="K36" s="1">
        <v>5</v>
      </c>
      <c r="L36" s="1">
        <v>0.05</v>
      </c>
      <c r="M36" s="1">
        <f t="shared" ref="M36" si="2">L36*1000</f>
        <v>50</v>
      </c>
      <c r="N36" s="1"/>
      <c r="O36" s="1">
        <f>($L$19*L36)/K36</f>
        <v>0.2</v>
      </c>
      <c r="P36" s="53"/>
      <c r="Q36" s="40"/>
      <c r="R36" s="12"/>
    </row>
    <row r="37" spans="9:18" ht="17">
      <c r="P37" s="60"/>
    </row>
    <row r="38" spans="9:18" ht="54">
      <c r="I38" s="53" t="s">
        <v>49</v>
      </c>
      <c r="J38" s="53" t="s">
        <v>50</v>
      </c>
      <c r="K38" s="53" t="s">
        <v>51</v>
      </c>
      <c r="L38" s="53" t="s">
        <v>52</v>
      </c>
      <c r="M38" s="53" t="s">
        <v>53</v>
      </c>
      <c r="N38" s="53" t="s">
        <v>54</v>
      </c>
      <c r="O38" s="53" t="s">
        <v>55</v>
      </c>
      <c r="P38" s="60"/>
      <c r="Q38" s="53"/>
      <c r="R38" s="53"/>
    </row>
    <row r="39" spans="9:18" ht="17">
      <c r="I39" s="54"/>
      <c r="J39" s="55"/>
      <c r="K39" s="56"/>
      <c r="L39" s="56"/>
      <c r="M39" s="57"/>
      <c r="N39" s="58"/>
      <c r="O39" s="60"/>
      <c r="Q39" s="60"/>
      <c r="R39" s="60"/>
    </row>
    <row r="40" spans="9:18" ht="17">
      <c r="I40" s="54"/>
      <c r="J40" s="59"/>
      <c r="K40" s="69"/>
      <c r="L40" s="69"/>
      <c r="M40" s="57"/>
      <c r="N40" s="54"/>
      <c r="O40" s="60"/>
      <c r="Q40" s="60"/>
      <c r="R40" s="60"/>
    </row>
    <row r="41" spans="9:18">
      <c r="I41" t="s">
        <v>60</v>
      </c>
    </row>
    <row r="42" spans="9:18">
      <c r="I42" t="s">
        <v>57</v>
      </c>
    </row>
    <row r="43" spans="9:18" ht="15" customHeight="1"/>
    <row r="44" spans="9:18" ht="15" customHeight="1">
      <c r="I44" t="s">
        <v>104</v>
      </c>
    </row>
    <row r="45" spans="9:18" ht="35" customHeight="1">
      <c r="I45" s="19" t="s">
        <v>86</v>
      </c>
    </row>
    <row r="46" spans="9:18" ht="33" customHeight="1">
      <c r="I46" s="19" t="s">
        <v>102</v>
      </c>
    </row>
    <row r="47" spans="9:18">
      <c r="I47" s="19" t="s">
        <v>92</v>
      </c>
    </row>
    <row r="48" spans="9:18">
      <c r="I48" s="19" t="s">
        <v>91</v>
      </c>
    </row>
    <row r="49" spans="9:15">
      <c r="I49" s="19" t="s">
        <v>93</v>
      </c>
    </row>
    <row r="50" spans="9:15">
      <c r="I50" s="19" t="s">
        <v>98</v>
      </c>
    </row>
    <row r="51" spans="9:15">
      <c r="I51" s="19" t="s">
        <v>99</v>
      </c>
      <c r="O51" s="119" t="s">
        <v>106</v>
      </c>
    </row>
    <row r="52" spans="9:15">
      <c r="I52" s="19" t="s">
        <v>87</v>
      </c>
      <c r="K52" t="s">
        <v>88</v>
      </c>
      <c r="N52" s="120"/>
      <c r="O52" s="112" t="s">
        <v>103</v>
      </c>
    </row>
    <row r="56" spans="9:15" ht="16" customHeight="1"/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16">
    <mergeCell ref="K4:K7"/>
    <mergeCell ref="AD4:AF4"/>
    <mergeCell ref="AI4:AK4"/>
    <mergeCell ref="S5:S6"/>
    <mergeCell ref="I6:J6"/>
    <mergeCell ref="I7:J7"/>
    <mergeCell ref="L7:M7"/>
    <mergeCell ref="Y15:Y16"/>
    <mergeCell ref="S17:U17"/>
    <mergeCell ref="S18:U19"/>
    <mergeCell ref="N9:O9"/>
    <mergeCell ref="T11:U11"/>
    <mergeCell ref="T12:U12"/>
    <mergeCell ref="S13:U15"/>
    <mergeCell ref="W15:W16"/>
    <mergeCell ref="X15:X16"/>
  </mergeCells>
  <pageMargins left="0.7" right="0.7" top="0.75" bottom="0.75" header="0.3" footer="0.3"/>
  <pageSetup scale="41" orientation="portrait" copies="2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.125uM S1</vt:lpstr>
      <vt:lpstr>0.5uM S1</vt:lpstr>
      <vt:lpstr>1.0uM S1</vt:lpstr>
      <vt:lpstr>'.125uM S1'!Print_Area</vt:lpstr>
      <vt:lpstr>'0.5uM S1'!Print_Area</vt:lpstr>
      <vt:lpstr>'1.0uM S1'!Print_Area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Malofsky</dc:creator>
  <cp:lastModifiedBy>Malofsky, Nicole A</cp:lastModifiedBy>
  <cp:lastPrinted>2025-03-10T21:41:17Z</cp:lastPrinted>
  <dcterms:created xsi:type="dcterms:W3CDTF">2021-07-14T19:35:26Z</dcterms:created>
  <dcterms:modified xsi:type="dcterms:W3CDTF">2025-11-18T15:37:24Z</dcterms:modified>
</cp:coreProperties>
</file>