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lofsna/Haselton-Wright Dropbox/Nicole Malofsky/4. Lab Publications/1. In Preparation/25 Malofsky RRDR/Data Repository/Supporting Information - Data Repository/Increasing Salt Concentration/Expt 278/"/>
    </mc:Choice>
  </mc:AlternateContent>
  <xr:revisionPtr revIDLastSave="0" documentId="13_ncr:1_{20059D60-96ED-2A46-825D-3605025F676D}" xr6:coauthVersionLast="47" xr6:coauthVersionMax="47" xr10:uidLastSave="{00000000-0000-0000-0000-000000000000}"/>
  <bookViews>
    <workbookView xWindow="4040" yWindow="1980" windowWidth="40760" windowHeight="21220" firstSheet="1" activeTab="1" xr2:uid="{00000000-000D-0000-FFFF-FFFF00000000}"/>
  </bookViews>
  <sheets>
    <sheet name="SensiFAST 2X LC" sheetId="22" r:id="rId1"/>
    <sheet name="SensiFAST 2xLC Salt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3" i="26" l="1"/>
  <c r="G33" i="26"/>
  <c r="I32" i="26"/>
  <c r="G32" i="26"/>
  <c r="D16" i="26"/>
  <c r="D17" i="26" s="1"/>
  <c r="I15" i="26"/>
  <c r="F15" i="26"/>
  <c r="G15" i="26" s="1"/>
  <c r="I14" i="26"/>
  <c r="G14" i="26"/>
  <c r="F14" i="26"/>
  <c r="I13" i="26"/>
  <c r="F13" i="26"/>
  <c r="G13" i="26" s="1"/>
  <c r="I12" i="26"/>
  <c r="G12" i="26"/>
  <c r="F12" i="26"/>
  <c r="E12" i="26"/>
  <c r="I11" i="26"/>
  <c r="F11" i="26"/>
  <c r="E11" i="26"/>
  <c r="E16" i="26" s="1"/>
  <c r="I10" i="26"/>
  <c r="F10" i="22"/>
  <c r="F16" i="22"/>
  <c r="E17" i="26" l="1"/>
  <c r="F17" i="26" s="1"/>
  <c r="F16" i="26"/>
  <c r="F10" i="26"/>
  <c r="G11" i="26"/>
  <c r="F14" i="22"/>
  <c r="F11" i="22"/>
  <c r="E11" i="22"/>
  <c r="E16" i="22" s="1"/>
  <c r="D16" i="22"/>
  <c r="D17" i="22" s="1"/>
  <c r="E12" i="22"/>
  <c r="G21" i="26" l="1"/>
  <c r="F20" i="26"/>
  <c r="G10" i="26"/>
  <c r="G20" i="26" s="1"/>
  <c r="E17" i="22"/>
  <c r="F17" i="22" s="1"/>
  <c r="G14" i="22" l="1"/>
  <c r="I14" i="22"/>
  <c r="I33" i="22"/>
  <c r="G33" i="22"/>
  <c r="I32" i="22"/>
  <c r="G32" i="22"/>
  <c r="I13" i="22"/>
  <c r="F13" i="22"/>
  <c r="G13" i="22" s="1"/>
  <c r="I12" i="22"/>
  <c r="F12" i="22"/>
  <c r="I11" i="22"/>
  <c r="G11" i="22"/>
  <c r="I10" i="22"/>
  <c r="G12" i="22" l="1"/>
  <c r="G21" i="22" l="1"/>
  <c r="G10" i="22" l="1"/>
  <c r="G20" i="22" s="1"/>
  <c r="F20" i="22"/>
</calcChain>
</file>

<file path=xl/sharedStrings.xml><?xml version="1.0" encoding="utf-8"?>
<sst xmlns="http://schemas.openxmlformats.org/spreadsheetml/2006/main" count="395" uniqueCount="164">
  <si>
    <t>Date</t>
  </si>
  <si>
    <t>Component</t>
  </si>
  <si>
    <t># of Samples</t>
  </si>
  <si>
    <t># of Rxns</t>
  </si>
  <si>
    <t>Nuclease-free water</t>
  </si>
  <si>
    <t>Add sep</t>
  </si>
  <si>
    <t>vol/tube</t>
  </si>
  <si>
    <t>sum</t>
  </si>
  <si>
    <t>total volume</t>
  </si>
  <si>
    <t>Temp (ºC)</t>
  </si>
  <si>
    <t>Time (mm:ss)</t>
  </si>
  <si>
    <t># of cycles</t>
  </si>
  <si>
    <t>Single Rxn Vol (uL)</t>
  </si>
  <si>
    <t>Full Rxn Vol (uL)</t>
  </si>
  <si>
    <t>Sequence</t>
  </si>
  <si>
    <t>Source</t>
  </si>
  <si>
    <t>Volume (uL) added per rxn</t>
  </si>
  <si>
    <t>[Stock] (uM)</t>
  </si>
  <si>
    <t>[Working] (uM)</t>
  </si>
  <si>
    <t>[Rxn] (nM)</t>
  </si>
  <si>
    <t>[Rxn] (uM)</t>
  </si>
  <si>
    <t>[Working]</t>
  </si>
  <si>
    <t>[Final Rxn uM]</t>
  </si>
  <si>
    <t>Check off Component</t>
  </si>
  <si>
    <t>1X</t>
  </si>
  <si>
    <t>2X</t>
  </si>
  <si>
    <t>15 min UV light in clean hood</t>
  </si>
  <si>
    <t>Melt / Denaturation (Cycling A)</t>
  </si>
  <si>
    <t>Clean hood = left, target bench = left</t>
  </si>
  <si>
    <t>Target</t>
  </si>
  <si>
    <t>A</t>
  </si>
  <si>
    <t>B</t>
  </si>
  <si>
    <t>C</t>
  </si>
  <si>
    <t>D</t>
  </si>
  <si>
    <t>E</t>
  </si>
  <si>
    <t>F</t>
  </si>
  <si>
    <t>G</t>
  </si>
  <si>
    <t>H</t>
  </si>
  <si>
    <t>Polymerase Activation</t>
  </si>
  <si>
    <t>Kit = SensiFAST Probe No-ROX Kit (BIO-86005)</t>
  </si>
  <si>
    <t>PCR instrument = Quant</t>
  </si>
  <si>
    <t>95C to 50C</t>
  </si>
  <si>
    <t>Melt Analysis *aquire*</t>
  </si>
  <si>
    <t>LC Green Plus</t>
  </si>
  <si>
    <t>SensiFAST Probe No-ROX Kit</t>
  </si>
  <si>
    <t>10X</t>
  </si>
  <si>
    <t>DNA</t>
  </si>
  <si>
    <t>Classification</t>
  </si>
  <si>
    <t>AA Change</t>
  </si>
  <si>
    <t>Base Change</t>
  </si>
  <si>
    <t>ID</t>
  </si>
  <si>
    <t>Oligo Length</t>
  </si>
  <si>
    <t>Oligo Sequence</t>
  </si>
  <si>
    <t>D-DNA</t>
  </si>
  <si>
    <t>WT Ultramer</t>
  </si>
  <si>
    <t>N/A</t>
  </si>
  <si>
    <t>Mutant</t>
  </si>
  <si>
    <t>Note w/r to mutants: SNP underlined in red</t>
  </si>
  <si>
    <t>Custom melt // targets: no passive reference, LCGreen Plus, ROX, optical filters x1/m1 m4/x4</t>
  </si>
  <si>
    <t>Using LDNA ss LDNA stock - at roughly 7.525E12c/uL via non-naodropped p28 E206 guided F/R dilutions on 9/26 --&gt; nb5 p12 total conc from 100nM primer is 1.204E12c - equates to 6.02E11c each FWD/REV **stored in clean room freezer!</t>
  </si>
  <si>
    <t>PCR + post-melt: 0.025C/s on continuous melt per literature support</t>
  </si>
  <si>
    <t>NaCl Solution</t>
  </si>
  <si>
    <t>35mM</t>
  </si>
  <si>
    <t>10/2+10/3+11/29/23 prep 1-3 FQ LDNA (7.525E11c FWD) - 1-3 with 1E11c FWD via (39.87uL 1-3 7.525E11c 10/2/23) + (260.13uL water)</t>
  </si>
  <si>
    <t>LOT = # SFPN-323308A</t>
  </si>
  <si>
    <t>SensiFAST Probe No-ROX Kit (BIO-86005)</t>
  </si>
  <si>
    <t>I491F</t>
  </si>
  <si>
    <t>A1471T</t>
  </si>
  <si>
    <t>Location: -20C, rpob - I491 F pink box from 6/3/24</t>
  </si>
  <si>
    <t>10^6 c/uL</t>
  </si>
  <si>
    <t>7/23+24/24 prep 10^6c/uL target for D435V (MEP478), H445D (MEP479), S450L (MEP480), H445D+S450L (MEP481), D435V+H445D+S450L (MEP482) in -80C box RRDR Targets July 2024</t>
  </si>
  <si>
    <t>rpoB F Primer (MEP409)</t>
  </si>
  <si>
    <t>rpoB R Primer (MEP410)</t>
  </si>
  <si>
    <t>MEP399</t>
  </si>
  <si>
    <t>MEP478</t>
  </si>
  <si>
    <t>Probe 1</t>
  </si>
  <si>
    <t>Probe 2</t>
  </si>
  <si>
    <t>Target = MEP399 (RRDR WT) or Water</t>
  </si>
  <si>
    <t xml:space="preserve">Blocked Melt Probe Seg1 (MEP491) </t>
  </si>
  <si>
    <t>Blocked Melt Probe Seg2 (MEP492)</t>
  </si>
  <si>
    <t>RRDR F Primer (MEP409)</t>
  </si>
  <si>
    <t>RRDR R Primer (MEP410)</t>
  </si>
  <si>
    <t>LOT = # SFPN-323412A</t>
  </si>
  <si>
    <t>o 7/30/24</t>
  </si>
  <si>
    <t>LC Green Plus (BioFire Cat # BCHM-ASY-0005, LOT 302124), 10X in 10mM Tris-HCl, o 7/26/24, stored in ClRm FridgeB</t>
  </si>
  <si>
    <t>70C to 95C</t>
  </si>
  <si>
    <t>Anneal / Extension (Cycling B)</t>
  </si>
  <si>
    <t>Anneal / Extension (Cycling C) *acquire*</t>
  </si>
  <si>
    <t>Anneal / Hybridiization</t>
  </si>
  <si>
    <t>Melt: 1.6C/s  to 95C 15s, 0.1C/s  to 50C 15s, 1.6C/s to 70C 1m, 0.025C/s acq continuous to 95C 15s</t>
  </si>
  <si>
    <t>7/25/24 prep 10uM primers MEP409/410 from 6/19/24 stocks, 7/31/24 10uM MEP409</t>
  </si>
  <si>
    <t>7/25/24 prep 1uM REV primer MEP410 from 7/25/24 10uM working, 7/31/24 1uM MEP410 // 7/29/24 prep 1uM FWD primer MEP409 from 7/25/24 10uM working</t>
  </si>
  <si>
    <t>1uL each segment per rxn (using 10uM)</t>
  </si>
  <si>
    <t>2uL target per reaction (using 10^6 c/uL)</t>
  </si>
  <si>
    <t>8/12/24 prep Blocked C3 Spacers WT RRDR Melt Probes MEP491 (Segment 1) and MEP492 (Segment 2) in -80 box RRDR Melt Probe Segments as 10uM in water</t>
  </si>
  <si>
    <t>8/8/24 prep RRDR WT (MEP399) target as 10^6 c/uL in -80 box RRDR Targets July 2024</t>
  </si>
  <si>
    <t>S1+H2O</t>
  </si>
  <si>
    <t>S2+H2O</t>
  </si>
  <si>
    <t>Both+H2O</t>
  </si>
  <si>
    <t>No+H2O</t>
  </si>
  <si>
    <t>No+399</t>
  </si>
  <si>
    <t>S1+399</t>
  </si>
  <si>
    <t>S2+399</t>
  </si>
  <si>
    <t>Both+399</t>
  </si>
  <si>
    <t>D435V</t>
  </si>
  <si>
    <t>H445D</t>
  </si>
  <si>
    <t>S450L</t>
  </si>
  <si>
    <t>H445D+S450L</t>
  </si>
  <si>
    <t>D435V+H445D+S450L</t>
  </si>
  <si>
    <t>MEP</t>
  </si>
  <si>
    <t>Wild-type RRDR</t>
  </si>
  <si>
    <t>Target Type</t>
  </si>
  <si>
    <t>No+478</t>
  </si>
  <si>
    <t>S1+478</t>
  </si>
  <si>
    <t>S2+478</t>
  </si>
  <si>
    <t>Both+478</t>
  </si>
  <si>
    <t>No+479</t>
  </si>
  <si>
    <t>S1+479</t>
  </si>
  <si>
    <t>S2+479</t>
  </si>
  <si>
    <t>Both+479</t>
  </si>
  <si>
    <t>No+480</t>
  </si>
  <si>
    <t>S1+480</t>
  </si>
  <si>
    <t>S2+480</t>
  </si>
  <si>
    <t>Both+480</t>
  </si>
  <si>
    <t>No+481</t>
  </si>
  <si>
    <t>S1+481</t>
  </si>
  <si>
    <t>S2+481</t>
  </si>
  <si>
    <t>Both+481</t>
  </si>
  <si>
    <t>No+482</t>
  </si>
  <si>
    <t>S1+482</t>
  </si>
  <si>
    <t>S2+482</t>
  </si>
  <si>
    <t>Both+482</t>
  </si>
  <si>
    <t>PCR: 1.6C/s to 95C 2m, 1.6C/s to 95C 5s, 1.6C/s to 61C 20s, 1.6C/s to 72C 1s acq (40X PCR 95/61/72)</t>
  </si>
  <si>
    <t>Pipet 18uL per well according to Segment Type</t>
  </si>
  <si>
    <t>Add 2uL water or target (10^6c/uL) according to Target Type</t>
  </si>
  <si>
    <t>278- SensiFAST Probe No Rox</t>
  </si>
  <si>
    <t>2X LCGR + Salt</t>
  </si>
  <si>
    <t xml:space="preserve">Goal: Extension of Expt 278 aims to add VTM equivalent salt concentration (like katG LHRM E244) of 35mM per rxn NaCl to increase Tm gap bw hardest mutant D435V (MEP478) v wild-type </t>
  </si>
  <si>
    <t>50 uM</t>
  </si>
  <si>
    <t>5 uM</t>
  </si>
  <si>
    <t>437.5mM</t>
  </si>
  <si>
    <t>Prep 437.5mM NaCl solution</t>
  </si>
  <si>
    <t>131.25uL of 5M NaCl into 1368.75uL water = 1.5mL of 437.5mM NaCl</t>
  </si>
  <si>
    <t>Prep 50uM FWD Pri MEP409</t>
  </si>
  <si>
    <t>50uL of 100uM MEP409 into 50uL water = 100uL of 50uM MEP409</t>
  </si>
  <si>
    <t>Prep 5uM REV Pri MEP410</t>
  </si>
  <si>
    <t>5uL of 100uM MEP410 into 95uL water = 100uL of 5uM MEP410</t>
  </si>
  <si>
    <t>8/13/24 prep 50uM FWD pri MEP409, 8/13/24 prep 5uM REV pri MEP410 - both from 6/19/24 stock 100uM</t>
  </si>
  <si>
    <t>8/13/24 prep 437.5mM NaCl from 5M stock bottle</t>
  </si>
  <si>
    <t>No salt</t>
  </si>
  <si>
    <t>Salt</t>
  </si>
  <si>
    <t>salt</t>
  </si>
  <si>
    <t>Need 32uL per target type</t>
  </si>
  <si>
    <t>Prep steps for salt v no salt mixing in segments equivalents!!!</t>
  </si>
  <si>
    <t>Prep for salt, create MM tubes</t>
  </si>
  <si>
    <t>Divide MM into 4 new tubes of 128uL (8rxns of 16uL/rxn to cover 6rxns per seg type)</t>
  </si>
  <si>
    <t xml:space="preserve">Add 16uL water to NoSeg MM tube (8rxns @2uL/rxn) </t>
  </si>
  <si>
    <t xml:space="preserve">Add 8uL water to Seg1 MM tube (8rxns @1uL/rxn) </t>
  </si>
  <si>
    <t xml:space="preserve">Add 8uL water to Seg2 MM tube (8rxns @1uL/rxn) </t>
  </si>
  <si>
    <t xml:space="preserve">Add 8uL MEP491 (Seg1) to Seg1 MM tube (8rxns @1uL/rxn) </t>
  </si>
  <si>
    <t xml:space="preserve">Add 8uL MEP491 (Seg1) to BothSeg MM tube (8rxns @1uL/rxn) </t>
  </si>
  <si>
    <t xml:space="preserve">Add 8uL MEP492 (Seg2) to Seg2 MM tube (8rxns @1uL/rxn) </t>
  </si>
  <si>
    <t xml:space="preserve">Add 8uL MEP492 (Seg2) to BothSeg MM tube (8rxns @1uL/rxn) </t>
  </si>
  <si>
    <t>2X LCGR + NoSalt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</si>
</sst>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1"/>
      <color theme="1"/>
      <name val="Courier"/>
      <family val="1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name val="Courier"/>
      <family val="1"/>
    </font>
    <font>
      <sz val="12"/>
      <color rgb="FF000000"/>
      <name val="Courier New"/>
      <family val="1"/>
    </font>
    <font>
      <b/>
      <sz val="12"/>
      <color theme="1"/>
      <name val="Courier New"/>
      <family val="1"/>
    </font>
    <font>
      <sz val="12"/>
      <name val="Courier New"/>
      <family val="1"/>
    </font>
    <font>
      <sz val="12"/>
      <color theme="1"/>
      <name val="Courier New"/>
      <family val="1"/>
    </font>
    <font>
      <sz val="11"/>
      <color rgb="FF000000"/>
      <name val="Courier New"/>
      <family val="1"/>
    </font>
    <font>
      <sz val="1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2">
    <xf numFmtId="0" fontId="0" fillId="0" borderId="0" xfId="0"/>
    <xf numFmtId="0" fontId="0" fillId="0" borderId="1" xfId="0" applyBorder="1"/>
    <xf numFmtId="0" fontId="0" fillId="0" borderId="5" xfId="0" applyBorder="1"/>
    <xf numFmtId="14" fontId="0" fillId="0" borderId="11" xfId="0" applyNumberFormat="1" applyBorder="1"/>
    <xf numFmtId="0" fontId="0" fillId="2" borderId="11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9" xfId="0" applyFill="1" applyBorder="1"/>
    <xf numFmtId="0" fontId="1" fillId="0" borderId="0" xfId="0" applyFont="1"/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1" xfId="0" applyBorder="1" applyAlignment="1">
      <alignment horizontal="right"/>
    </xf>
    <xf numFmtId="0" fontId="0" fillId="0" borderId="22" xfId="0" applyBorder="1"/>
    <xf numFmtId="0" fontId="0" fillId="3" borderId="25" xfId="0" applyFill="1" applyBorder="1"/>
    <xf numFmtId="0" fontId="1" fillId="0" borderId="27" xfId="0" applyFont="1" applyBorder="1" applyAlignment="1">
      <alignment horizontal="center" vertical="center" wrapText="1"/>
    </xf>
    <xf numFmtId="0" fontId="0" fillId="3" borderId="22" xfId="0" applyFill="1" applyBorder="1"/>
    <xf numFmtId="0" fontId="0" fillId="0" borderId="0" xfId="0" applyAlignment="1">
      <alignment vertical="center"/>
    </xf>
    <xf numFmtId="1" fontId="0" fillId="0" borderId="11" xfId="0" applyNumberFormat="1" applyBorder="1" applyAlignment="1">
      <alignment horizontal="right"/>
    </xf>
    <xf numFmtId="0" fontId="3" fillId="0" borderId="0" xfId="0" applyFont="1"/>
    <xf numFmtId="0" fontId="0" fillId="0" borderId="24" xfId="0" applyBorder="1"/>
    <xf numFmtId="0" fontId="0" fillId="0" borderId="6" xfId="0" applyBorder="1"/>
    <xf numFmtId="0" fontId="3" fillId="4" borderId="2" xfId="0" applyFont="1" applyFill="1" applyBorder="1"/>
    <xf numFmtId="0" fontId="1" fillId="0" borderId="21" xfId="0" applyFon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1" fillId="0" borderId="17" xfId="0" applyFont="1" applyBorder="1" applyAlignment="1">
      <alignment horizontal="justify" vertical="center" wrapText="1"/>
    </xf>
    <xf numFmtId="0" fontId="12" fillId="0" borderId="17" xfId="0" applyFont="1" applyBorder="1" applyAlignment="1">
      <alignment horizontal="justify" vertical="center" wrapText="1"/>
    </xf>
    <xf numFmtId="0" fontId="14" fillId="0" borderId="1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/>
    <xf numFmtId="49" fontId="0" fillId="0" borderId="0" xfId="0" applyNumberFormat="1" applyAlignment="1">
      <alignment wrapText="1"/>
    </xf>
    <xf numFmtId="49" fontId="1" fillId="0" borderId="0" xfId="0" applyNumberFormat="1" applyFont="1"/>
    <xf numFmtId="0" fontId="1" fillId="0" borderId="29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20" fontId="5" fillId="0" borderId="4" xfId="0" applyNumberFormat="1" applyFont="1" applyBorder="1"/>
    <xf numFmtId="0" fontId="5" fillId="0" borderId="5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0" fillId="0" borderId="5" xfId="0" applyBorder="1" applyAlignment="1">
      <alignment horizontal="right"/>
    </xf>
    <xf numFmtId="20" fontId="0" fillId="0" borderId="6" xfId="0" applyNumberFormat="1" applyBorder="1"/>
    <xf numFmtId="0" fontId="0" fillId="0" borderId="5" xfId="0" applyBorder="1" applyAlignment="1">
      <alignment horizontal="right" wrapText="1"/>
    </xf>
    <xf numFmtId="0" fontId="1" fillId="0" borderId="5" xfId="0" applyFont="1" applyBorder="1" applyAlignment="1">
      <alignment horizontal="right"/>
    </xf>
    <xf numFmtId="0" fontId="9" fillId="0" borderId="6" xfId="0" applyFont="1" applyBorder="1"/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 readingOrder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12" fillId="0" borderId="15" xfId="0" applyFont="1" applyBorder="1" applyAlignment="1">
      <alignment horizontal="justify" vertical="center" wrapText="1"/>
    </xf>
    <xf numFmtId="0" fontId="0" fillId="5" borderId="0" xfId="0" applyFill="1"/>
    <xf numFmtId="0" fontId="11" fillId="0" borderId="28" xfId="0" applyFont="1" applyBorder="1" applyAlignment="1">
      <alignment horizontal="justify" vertical="center" wrapText="1"/>
    </xf>
    <xf numFmtId="0" fontId="0" fillId="2" borderId="1" xfId="0" applyFill="1" applyBorder="1" applyAlignment="1">
      <alignment horizontal="right" vertical="center"/>
    </xf>
    <xf numFmtId="0" fontId="3" fillId="7" borderId="2" xfId="0" applyFont="1" applyFill="1" applyBorder="1"/>
    <xf numFmtId="0" fontId="8" fillId="0" borderId="3" xfId="0" applyFont="1" applyBorder="1"/>
    <xf numFmtId="0" fontId="8" fillId="0" borderId="3" xfId="0" applyFont="1" applyBorder="1" applyAlignment="1">
      <alignment horizontal="right"/>
    </xf>
    <xf numFmtId="0" fontId="3" fillId="7" borderId="3" xfId="0" applyFont="1" applyFill="1" applyBorder="1"/>
    <xf numFmtId="0" fontId="3" fillId="7" borderId="4" xfId="0" applyFont="1" applyFill="1" applyBorder="1" applyAlignment="1">
      <alignment horizontal="center"/>
    </xf>
    <xf numFmtId="0" fontId="3" fillId="4" borderId="3" xfId="0" applyFont="1" applyFill="1" applyBorder="1"/>
    <xf numFmtId="0" fontId="3" fillId="4" borderId="4" xfId="0" applyFont="1" applyFill="1" applyBorder="1" applyAlignment="1">
      <alignment horizontal="center"/>
    </xf>
    <xf numFmtId="0" fontId="18" fillId="4" borderId="1" xfId="0" applyFont="1" applyFill="1" applyBorder="1" applyAlignment="1">
      <alignment vertical="center"/>
    </xf>
    <xf numFmtId="0" fontId="0" fillId="3" borderId="34" xfId="0" applyFill="1" applyBorder="1"/>
    <xf numFmtId="0" fontId="0" fillId="3" borderId="24" xfId="0" applyFill="1" applyBorder="1"/>
    <xf numFmtId="0" fontId="20" fillId="0" borderId="17" xfId="0" applyFont="1" applyBorder="1" applyAlignment="1">
      <alignment horizontal="justify" vertical="center" wrapText="1"/>
    </xf>
    <xf numFmtId="0" fontId="20" fillId="0" borderId="33" xfId="0" applyFont="1" applyBorder="1" applyAlignment="1">
      <alignment horizontal="justify" vertical="center" wrapText="1"/>
    </xf>
    <xf numFmtId="0" fontId="20" fillId="0" borderId="23" xfId="0" applyFont="1" applyBorder="1" applyAlignment="1">
      <alignment horizontal="justify" vertical="center" wrapText="1"/>
    </xf>
    <xf numFmtId="0" fontId="5" fillId="0" borderId="0" xfId="0" applyFont="1" applyAlignment="1">
      <alignment vertical="center" wrapText="1"/>
    </xf>
    <xf numFmtId="0" fontId="0" fillId="2" borderId="5" xfId="0" applyFill="1" applyBorder="1" applyAlignment="1">
      <alignment horizontal="right" wrapText="1"/>
    </xf>
    <xf numFmtId="20" fontId="0" fillId="2" borderId="6" xfId="0" applyNumberFormat="1" applyFill="1" applyBorder="1"/>
    <xf numFmtId="0" fontId="1" fillId="2" borderId="0" xfId="0" applyFont="1" applyFill="1" applyAlignment="1">
      <alignment horizontal="center"/>
    </xf>
    <xf numFmtId="0" fontId="0" fillId="9" borderId="1" xfId="0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11" borderId="1" xfId="0" applyFill="1" applyBorder="1"/>
    <xf numFmtId="0" fontId="1" fillId="2" borderId="30" xfId="0" applyFont="1" applyFill="1" applyBorder="1"/>
    <xf numFmtId="0" fontId="0" fillId="2" borderId="31" xfId="0" applyFill="1" applyBorder="1"/>
    <xf numFmtId="0" fontId="0" fillId="0" borderId="1" xfId="0" applyBorder="1" applyAlignment="1">
      <alignment horizontal="left" vertical="center"/>
    </xf>
    <xf numFmtId="0" fontId="0" fillId="9" borderId="1" xfId="0" applyFill="1" applyBorder="1"/>
    <xf numFmtId="0" fontId="13" fillId="10" borderId="35" xfId="0" applyFont="1" applyFill="1" applyBorder="1" applyAlignment="1">
      <alignment horizontal="center" vertical="center" wrapText="1"/>
    </xf>
    <xf numFmtId="0" fontId="13" fillId="10" borderId="33" xfId="0" applyFont="1" applyFill="1" applyBorder="1" applyAlignment="1">
      <alignment horizontal="center" vertical="center" wrapText="1"/>
    </xf>
    <xf numFmtId="0" fontId="20" fillId="4" borderId="35" xfId="0" applyFont="1" applyFill="1" applyBorder="1" applyAlignment="1">
      <alignment horizontal="center" vertical="center" wrapText="1"/>
    </xf>
    <xf numFmtId="0" fontId="20" fillId="4" borderId="33" xfId="0" applyFont="1" applyFill="1" applyBorder="1" applyAlignment="1">
      <alignment horizontal="center" vertical="center" wrapText="1"/>
    </xf>
    <xf numFmtId="0" fontId="20" fillId="7" borderId="35" xfId="0" applyFont="1" applyFill="1" applyBorder="1" applyAlignment="1">
      <alignment horizontal="center" vertical="center" wrapText="1"/>
    </xf>
    <xf numFmtId="0" fontId="20" fillId="7" borderId="33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33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20" fontId="5" fillId="0" borderId="1" xfId="0" applyNumberFormat="1" applyFont="1" applyBorder="1" applyAlignment="1">
      <alignment horizontal="center" vertical="center"/>
    </xf>
    <xf numFmtId="20" fontId="5" fillId="0" borderId="6" xfId="0" applyNumberFormat="1" applyFont="1" applyBorder="1" applyAlignment="1">
      <alignment horizontal="center" vertical="center"/>
    </xf>
    <xf numFmtId="20" fontId="5" fillId="8" borderId="8" xfId="0" applyNumberFormat="1" applyFont="1" applyFill="1" applyBorder="1" applyAlignment="1">
      <alignment horizontal="center" vertical="center"/>
    </xf>
    <xf numFmtId="20" fontId="5" fillId="8" borderId="9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5" fillId="0" borderId="1" xfId="0" applyFont="1" applyBorder="1" applyAlignment="1">
      <alignment horizontal="left" vertical="center" wrapText="1" readingOrder="1"/>
    </xf>
    <xf numFmtId="0" fontId="16" fillId="0" borderId="1" xfId="0" applyFont="1" applyBorder="1" applyAlignment="1">
      <alignment horizontal="center" vertical="center" wrapText="1"/>
    </xf>
    <xf numFmtId="0" fontId="0" fillId="8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432FF"/>
      <color rgb="FF008F00"/>
      <color rgb="FFFF40FF"/>
      <color rgb="FF00FA00"/>
      <color rgb="FFFF21B8"/>
      <color rgb="FFD883FF"/>
      <color rgb="FFFF2F92"/>
      <color rgb="FF00FDFF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9977-AE59-C942-8BC9-0957F7663EEB}">
  <sheetPr codeName="Sheet1">
    <pageSetUpPr fitToPage="1"/>
  </sheetPr>
  <dimension ref="B1:AG67"/>
  <sheetViews>
    <sheetView topLeftCell="L1" zoomScale="110" zoomScaleNormal="160" workbookViewId="0">
      <selection activeCell="M6" sqref="M6:AG34"/>
    </sheetView>
  </sheetViews>
  <sheetFormatPr baseColWidth="10" defaultColWidth="11" defaultRowHeight="16"/>
  <cols>
    <col min="1" max="1" width="13.5" customWidth="1"/>
    <col min="2" max="2" width="5.6640625" customWidth="1"/>
    <col min="3" max="3" width="46.5" customWidth="1"/>
    <col min="4" max="4" width="31.1640625" customWidth="1"/>
    <col min="5" max="5" width="15.1640625" customWidth="1"/>
    <col min="6" max="6" width="18" customWidth="1"/>
    <col min="7" max="7" width="17.1640625" customWidth="1"/>
    <col min="8" max="8" width="7" customWidth="1"/>
    <col min="9" max="9" width="62.1640625" customWidth="1"/>
    <col min="10" max="10" width="3" customWidth="1"/>
    <col min="11" max="11" width="36.83203125" customWidth="1"/>
    <col min="12" max="12" width="78" customWidth="1"/>
    <col min="13" max="13" width="45" customWidth="1"/>
    <col min="14" max="14" width="9.5" bestFit="1" customWidth="1"/>
    <col min="15" max="15" width="12.6640625" bestFit="1" customWidth="1"/>
    <col min="16" max="16" width="7.33203125" customWidth="1"/>
    <col min="17" max="17" width="19" bestFit="1" customWidth="1"/>
    <col min="18" max="18" width="5.33203125" customWidth="1"/>
    <col min="19" max="19" width="2.33203125" customWidth="1"/>
    <col min="20" max="32" width="4.83203125" customWidth="1"/>
    <col min="33" max="36" width="2.83203125" customWidth="1"/>
    <col min="37" max="37" width="4" customWidth="1"/>
    <col min="38" max="38" width="4.6640625" customWidth="1"/>
    <col min="39" max="39" width="4.5" customWidth="1"/>
    <col min="40" max="40" width="4.1640625" customWidth="1"/>
    <col min="41" max="41" width="3.6640625" customWidth="1"/>
    <col min="42" max="42" width="5.5" customWidth="1"/>
    <col min="43" max="43" width="3.83203125" customWidth="1"/>
    <col min="44" max="44" width="3.33203125" customWidth="1"/>
    <col min="45" max="45" width="2.83203125" customWidth="1"/>
    <col min="46" max="46" width="4.1640625" customWidth="1"/>
    <col min="47" max="47" width="5.6640625" customWidth="1"/>
    <col min="48" max="48" width="3.1640625" bestFit="1" customWidth="1"/>
  </cols>
  <sheetData>
    <row r="1" spans="3:33" ht="16" customHeight="1"/>
    <row r="2" spans="3:33" ht="17" customHeight="1" thickBot="1">
      <c r="H2" s="119" t="s">
        <v>137</v>
      </c>
      <c r="I2" s="119"/>
    </row>
    <row r="3" spans="3:33" ht="17" customHeight="1" thickBot="1">
      <c r="C3" s="8"/>
      <c r="D3" s="27" t="s">
        <v>135</v>
      </c>
      <c r="H3" s="119"/>
      <c r="I3" s="119"/>
    </row>
    <row r="4" spans="3:33" ht="17" thickBot="1">
      <c r="C4" s="8" t="s">
        <v>0</v>
      </c>
      <c r="D4" s="3">
        <v>45517</v>
      </c>
      <c r="H4" s="119"/>
      <c r="I4" s="119"/>
      <c r="U4" s="20"/>
    </row>
    <row r="5" spans="3:33" ht="17" thickBot="1">
      <c r="E5" s="83" t="s">
        <v>163</v>
      </c>
      <c r="F5" s="8" t="s">
        <v>2</v>
      </c>
      <c r="G5" s="4">
        <v>24</v>
      </c>
      <c r="H5" s="119"/>
      <c r="I5" s="119"/>
      <c r="S5" s="2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</row>
    <row r="6" spans="3:33" ht="17" thickBot="1">
      <c r="C6" s="112" t="s">
        <v>39</v>
      </c>
      <c r="D6" s="113"/>
      <c r="E6" s="114" t="s">
        <v>154</v>
      </c>
      <c r="H6" s="119"/>
      <c r="I6" s="119"/>
      <c r="M6" s="106" t="s">
        <v>60</v>
      </c>
      <c r="S6" s="2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</row>
    <row r="7" spans="3:33" ht="17" thickBot="1">
      <c r="C7" s="115" t="s">
        <v>64</v>
      </c>
      <c r="D7" s="116"/>
      <c r="E7" s="114"/>
      <c r="F7" s="117" t="s">
        <v>3</v>
      </c>
      <c r="G7" s="118"/>
      <c r="H7" s="119"/>
      <c r="I7" s="119"/>
      <c r="L7" s="28"/>
      <c r="M7" s="111"/>
      <c r="N7" s="43" t="s">
        <v>9</v>
      </c>
      <c r="O7" s="43" t="s">
        <v>10</v>
      </c>
      <c r="S7" s="20"/>
      <c r="T7" s="37"/>
      <c r="U7" s="63">
        <v>1</v>
      </c>
      <c r="V7" s="63">
        <v>2</v>
      </c>
      <c r="W7" s="63">
        <v>3</v>
      </c>
      <c r="X7" s="63">
        <v>4</v>
      </c>
      <c r="Y7" s="63">
        <v>5</v>
      </c>
      <c r="Z7" s="63">
        <v>6</v>
      </c>
      <c r="AA7" s="63">
        <v>7</v>
      </c>
      <c r="AB7" s="37">
        <v>8</v>
      </c>
      <c r="AC7" s="37">
        <v>9</v>
      </c>
      <c r="AD7" s="37">
        <v>10</v>
      </c>
      <c r="AE7" s="37">
        <v>11</v>
      </c>
      <c r="AF7" s="37">
        <v>12</v>
      </c>
    </row>
    <row r="8" spans="3:33" ht="18" customHeight="1" thickBot="1">
      <c r="F8" s="5">
        <v>1</v>
      </c>
      <c r="G8" s="11">
        <v>35</v>
      </c>
      <c r="H8" s="120"/>
      <c r="I8" s="120"/>
      <c r="M8" s="44" t="s">
        <v>38</v>
      </c>
      <c r="N8" s="45">
        <v>95</v>
      </c>
      <c r="O8" s="46">
        <v>8.3333333333333329E-2</v>
      </c>
      <c r="Q8" s="85" t="s">
        <v>111</v>
      </c>
      <c r="R8" s="85" t="s">
        <v>109</v>
      </c>
      <c r="S8" s="20"/>
      <c r="T8" s="65" t="s">
        <v>30</v>
      </c>
      <c r="U8" s="79"/>
      <c r="V8" s="78"/>
      <c r="W8" s="91" t="s">
        <v>99</v>
      </c>
      <c r="X8" s="92"/>
      <c r="Y8" s="93" t="s">
        <v>96</v>
      </c>
      <c r="Z8" s="94"/>
      <c r="AA8" s="95" t="s">
        <v>97</v>
      </c>
      <c r="AB8" s="96"/>
      <c r="AC8" s="97" t="s">
        <v>98</v>
      </c>
      <c r="AD8" s="98"/>
      <c r="AE8" s="77"/>
      <c r="AF8" s="77"/>
      <c r="AG8" t="s">
        <v>149</v>
      </c>
    </row>
    <row r="9" spans="3:33" ht="18" customHeight="1" thickBot="1">
      <c r="C9" s="9" t="s">
        <v>1</v>
      </c>
      <c r="D9" s="10" t="s">
        <v>21</v>
      </c>
      <c r="E9" s="10" t="s">
        <v>22</v>
      </c>
      <c r="F9" s="10" t="s">
        <v>12</v>
      </c>
      <c r="G9" s="24" t="s">
        <v>13</v>
      </c>
      <c r="H9" s="99" t="s">
        <v>23</v>
      </c>
      <c r="I9" s="100"/>
      <c r="K9" s="33"/>
      <c r="M9" s="49" t="s">
        <v>27</v>
      </c>
      <c r="N9" s="1">
        <v>95</v>
      </c>
      <c r="O9" s="50">
        <v>3.472222222222222E-3</v>
      </c>
      <c r="Q9" s="89" t="s">
        <v>110</v>
      </c>
      <c r="R9" s="19">
        <v>399</v>
      </c>
      <c r="S9" s="20"/>
      <c r="T9" s="36" t="s">
        <v>31</v>
      </c>
      <c r="U9" s="79"/>
      <c r="V9" s="78"/>
      <c r="W9" s="91" t="s">
        <v>99</v>
      </c>
      <c r="X9" s="92"/>
      <c r="Y9" s="93" t="s">
        <v>96</v>
      </c>
      <c r="Z9" s="94"/>
      <c r="AA9" s="95" t="s">
        <v>97</v>
      </c>
      <c r="AB9" s="96"/>
      <c r="AC9" s="97" t="s">
        <v>98</v>
      </c>
      <c r="AD9" s="98"/>
      <c r="AE9" s="77"/>
      <c r="AF9" s="77"/>
      <c r="AG9" t="s">
        <v>150</v>
      </c>
    </row>
    <row r="10" spans="3:33" ht="18" customHeight="1" thickBot="1">
      <c r="C10" s="2" t="s">
        <v>4</v>
      </c>
      <c r="D10" s="1"/>
      <c r="E10" s="1"/>
      <c r="F10" s="22">
        <f>F19-SUM(F11:F18)</f>
        <v>1.6000000000000014</v>
      </c>
      <c r="G10" s="25">
        <f>F10*$G$8</f>
        <v>56.00000000000005</v>
      </c>
      <c r="H10" s="29"/>
      <c r="I10" s="75" t="str">
        <f>C10</f>
        <v>Nuclease-free water</v>
      </c>
      <c r="L10" s="26"/>
      <c r="M10" s="51" t="s">
        <v>86</v>
      </c>
      <c r="N10" s="61">
        <v>61</v>
      </c>
      <c r="O10" s="50">
        <v>1.3888888888888888E-2</v>
      </c>
      <c r="Q10" s="89" t="s">
        <v>104</v>
      </c>
      <c r="R10" s="19">
        <v>478</v>
      </c>
      <c r="S10" s="20"/>
      <c r="T10" s="36" t="s">
        <v>32</v>
      </c>
      <c r="U10" s="79"/>
      <c r="V10" s="78"/>
      <c r="W10" s="78"/>
      <c r="X10" s="78"/>
      <c r="Y10" s="78"/>
      <c r="Z10" s="78"/>
      <c r="AA10" s="78"/>
      <c r="AB10" s="78"/>
      <c r="AC10" s="78"/>
      <c r="AD10" s="77"/>
      <c r="AE10" s="77"/>
      <c r="AF10" s="77"/>
    </row>
    <row r="11" spans="3:33" ht="18" customHeight="1" thickBot="1">
      <c r="C11" s="2" t="s">
        <v>71</v>
      </c>
      <c r="D11" s="84" t="s">
        <v>138</v>
      </c>
      <c r="E11" s="90">
        <f>F32</f>
        <v>0.5</v>
      </c>
      <c r="F11" s="22">
        <f>F19*F32/E32</f>
        <v>0.2</v>
      </c>
      <c r="G11" s="25">
        <f t="shared" ref="G11:G12" si="0">F11*$G$8</f>
        <v>7</v>
      </c>
      <c r="H11" s="29"/>
      <c r="I11" s="76" t="str">
        <f t="shared" ref="I11:I12" si="1">C11</f>
        <v>rpoB F Primer (MEP409)</v>
      </c>
      <c r="M11" s="81" t="s">
        <v>87</v>
      </c>
      <c r="N11" s="66">
        <v>72</v>
      </c>
      <c r="O11" s="82">
        <v>6.9444444444444447E-4</v>
      </c>
      <c r="Q11" s="89"/>
      <c r="R11" s="19"/>
      <c r="S11" s="20"/>
      <c r="T11" s="36" t="s">
        <v>33</v>
      </c>
      <c r="U11" s="79"/>
      <c r="V11" s="78"/>
      <c r="W11" s="91" t="s">
        <v>100</v>
      </c>
      <c r="X11" s="92"/>
      <c r="Y11" s="93" t="s">
        <v>101</v>
      </c>
      <c r="Z11" s="94"/>
      <c r="AA11" s="95" t="s">
        <v>102</v>
      </c>
      <c r="AB11" s="96"/>
      <c r="AC11" s="97" t="s">
        <v>103</v>
      </c>
      <c r="AD11" s="98"/>
      <c r="AE11" s="77"/>
      <c r="AF11" s="77"/>
      <c r="AG11" t="s">
        <v>149</v>
      </c>
    </row>
    <row r="12" spans="3:33" ht="18" customHeight="1" thickBot="1">
      <c r="C12" s="2" t="s">
        <v>72</v>
      </c>
      <c r="D12" s="84" t="s">
        <v>139</v>
      </c>
      <c r="E12" s="90">
        <f>F33</f>
        <v>0.05</v>
      </c>
      <c r="F12" s="22">
        <f>F19*F33/E33</f>
        <v>0.2</v>
      </c>
      <c r="G12" s="25">
        <f t="shared" si="0"/>
        <v>7</v>
      </c>
      <c r="H12" s="29"/>
      <c r="I12" s="76" t="str">
        <f t="shared" si="1"/>
        <v>rpoB R Primer (MEP410)</v>
      </c>
      <c r="L12" s="26"/>
      <c r="M12" s="52" t="s">
        <v>11</v>
      </c>
      <c r="N12" s="86">
        <v>40</v>
      </c>
      <c r="O12" s="53"/>
      <c r="Q12" s="89"/>
      <c r="R12" s="19"/>
      <c r="S12" s="20"/>
      <c r="T12" s="36" t="s">
        <v>34</v>
      </c>
      <c r="U12" s="79"/>
      <c r="V12" s="78"/>
      <c r="W12" s="91" t="s">
        <v>100</v>
      </c>
      <c r="X12" s="92"/>
      <c r="Y12" s="93" t="s">
        <v>101</v>
      </c>
      <c r="Z12" s="94"/>
      <c r="AA12" s="95" t="s">
        <v>102</v>
      </c>
      <c r="AB12" s="96"/>
      <c r="AC12" s="97" t="s">
        <v>103</v>
      </c>
      <c r="AD12" s="98"/>
      <c r="AE12" s="78"/>
      <c r="AF12" s="77"/>
      <c r="AG12" t="s">
        <v>150</v>
      </c>
    </row>
    <row r="13" spans="3:33" ht="17" customHeight="1" thickBot="1">
      <c r="C13" s="2" t="s">
        <v>44</v>
      </c>
      <c r="D13" s="21" t="s">
        <v>25</v>
      </c>
      <c r="E13" s="21" t="s">
        <v>24</v>
      </c>
      <c r="F13" s="22">
        <f>F19/2</f>
        <v>10</v>
      </c>
      <c r="G13" s="25">
        <f>F13*$G$8</f>
        <v>350</v>
      </c>
      <c r="H13" s="29"/>
      <c r="I13" s="76" t="str">
        <f>C13</f>
        <v>SensiFAST Probe No-ROX Kit</v>
      </c>
      <c r="L13" s="26"/>
      <c r="M13" s="47" t="s">
        <v>88</v>
      </c>
      <c r="N13" s="101" t="s">
        <v>41</v>
      </c>
      <c r="O13" s="102"/>
      <c r="Q13" s="89"/>
      <c r="R13" s="19"/>
      <c r="S13" s="20"/>
      <c r="T13" s="36" t="s">
        <v>35</v>
      </c>
      <c r="U13" s="79"/>
      <c r="V13" s="78"/>
      <c r="W13" s="91" t="s">
        <v>112</v>
      </c>
      <c r="X13" s="92"/>
      <c r="Y13" s="93" t="s">
        <v>113</v>
      </c>
      <c r="Z13" s="94"/>
      <c r="AA13" s="95" t="s">
        <v>114</v>
      </c>
      <c r="AB13" s="96"/>
      <c r="AC13" s="97" t="s">
        <v>115</v>
      </c>
      <c r="AD13" s="98"/>
      <c r="AE13" s="77"/>
      <c r="AF13" s="77"/>
      <c r="AG13" t="s">
        <v>149</v>
      </c>
    </row>
    <row r="14" spans="3:33" ht="18" customHeight="1" thickBot="1">
      <c r="C14" s="2" t="s">
        <v>43</v>
      </c>
      <c r="D14" s="21" t="s">
        <v>45</v>
      </c>
      <c r="E14" s="84" t="s">
        <v>25</v>
      </c>
      <c r="F14" s="22">
        <f>F19*2/10</f>
        <v>4</v>
      </c>
      <c r="G14" s="25">
        <f>F14*$G$8</f>
        <v>140</v>
      </c>
      <c r="H14" s="29"/>
      <c r="I14" s="76" t="str">
        <f>C14</f>
        <v>LC Green Plus</v>
      </c>
      <c r="L14" s="26"/>
      <c r="M14" s="48" t="s">
        <v>42</v>
      </c>
      <c r="N14" s="103" t="s">
        <v>85</v>
      </c>
      <c r="O14" s="104"/>
      <c r="Q14" s="89"/>
      <c r="R14" s="19"/>
      <c r="S14" s="20"/>
      <c r="T14" s="36" t="s">
        <v>36</v>
      </c>
      <c r="U14" s="79"/>
      <c r="V14" s="78"/>
      <c r="W14" s="91" t="s">
        <v>112</v>
      </c>
      <c r="X14" s="92"/>
      <c r="Y14" s="93" t="s">
        <v>113</v>
      </c>
      <c r="Z14" s="94"/>
      <c r="AA14" s="95" t="s">
        <v>114</v>
      </c>
      <c r="AB14" s="96"/>
      <c r="AC14" s="97" t="s">
        <v>115</v>
      </c>
      <c r="AD14" s="98"/>
      <c r="AE14" s="77"/>
      <c r="AF14" s="77"/>
      <c r="AG14" t="s">
        <v>151</v>
      </c>
    </row>
    <row r="15" spans="3:33" ht="18" customHeight="1" thickBot="1">
      <c r="C15" s="2"/>
      <c r="D15" s="21"/>
      <c r="E15" s="84"/>
      <c r="F15" s="22"/>
      <c r="G15" s="25"/>
      <c r="H15" s="29"/>
      <c r="I15" s="23"/>
      <c r="M15" s="105" t="s">
        <v>58</v>
      </c>
      <c r="N15" s="105"/>
      <c r="O15" s="105"/>
      <c r="Q15" s="62"/>
      <c r="S15" s="20"/>
      <c r="T15" s="36" t="s">
        <v>37</v>
      </c>
      <c r="U15" s="79"/>
      <c r="V15" s="78"/>
      <c r="W15" s="78"/>
      <c r="X15" s="78"/>
      <c r="Y15" s="78"/>
      <c r="Z15" s="78"/>
      <c r="AA15" s="78"/>
      <c r="AB15" s="78"/>
      <c r="AC15" s="78"/>
      <c r="AD15" s="77"/>
      <c r="AE15" s="77"/>
      <c r="AF15" s="77"/>
    </row>
    <row r="16" spans="3:33" ht="17" thickBot="1">
      <c r="C16" s="67" t="s">
        <v>78</v>
      </c>
      <c r="D16" s="69" t="str">
        <f>D11</f>
        <v>50 uM</v>
      </c>
      <c r="E16" s="69">
        <f>E11</f>
        <v>0.5</v>
      </c>
      <c r="F16" s="70">
        <f>F19*E16/10</f>
        <v>1</v>
      </c>
      <c r="G16" s="71" t="s">
        <v>5</v>
      </c>
      <c r="H16" s="67" t="s">
        <v>75</v>
      </c>
      <c r="M16" s="106"/>
      <c r="N16" s="106"/>
      <c r="O16" s="106"/>
      <c r="Q16" s="20"/>
      <c r="S16" s="20"/>
    </row>
    <row r="17" spans="3:33" ht="17" thickBot="1">
      <c r="C17" s="67" t="s">
        <v>79</v>
      </c>
      <c r="D17" s="69" t="str">
        <f>D16</f>
        <v>50 uM</v>
      </c>
      <c r="E17" s="69">
        <f>E16</f>
        <v>0.5</v>
      </c>
      <c r="F17" s="70">
        <f>F19*E17/10</f>
        <v>1</v>
      </c>
      <c r="G17" s="71" t="s">
        <v>5</v>
      </c>
      <c r="H17" s="67" t="s">
        <v>76</v>
      </c>
      <c r="M17" s="110" t="s">
        <v>132</v>
      </c>
      <c r="N17" s="110"/>
      <c r="O17" s="110"/>
      <c r="S17" s="20"/>
      <c r="T17" s="12" t="s">
        <v>92</v>
      </c>
    </row>
    <row r="18" spans="3:33" ht="16" customHeight="1">
      <c r="C18" s="31" t="s">
        <v>77</v>
      </c>
      <c r="D18" s="69" t="s">
        <v>69</v>
      </c>
      <c r="E18" s="68"/>
      <c r="F18" s="72">
        <v>2</v>
      </c>
      <c r="G18" s="73" t="s">
        <v>5</v>
      </c>
      <c r="H18" s="31" t="s">
        <v>29</v>
      </c>
      <c r="K18" s="41"/>
      <c r="M18" s="110"/>
      <c r="N18" s="110"/>
      <c r="O18" s="110"/>
      <c r="R18" s="62"/>
      <c r="S18" s="20"/>
      <c r="T18" s="12" t="s">
        <v>93</v>
      </c>
      <c r="U18" s="20"/>
      <c r="AC18" s="20"/>
      <c r="AF18" s="20"/>
    </row>
    <row r="19" spans="3:33" ht="17" thickBot="1">
      <c r="E19" s="16" t="s">
        <v>8</v>
      </c>
      <c r="F19" s="17">
        <v>20</v>
      </c>
      <c r="G19" s="18"/>
      <c r="J19" s="41"/>
      <c r="M19" s="109" t="s">
        <v>89</v>
      </c>
      <c r="N19" s="109"/>
      <c r="O19" s="109"/>
      <c r="Q19" s="20"/>
      <c r="S19" s="20"/>
      <c r="T19" s="20"/>
      <c r="V19" s="20"/>
      <c r="W19" s="39"/>
      <c r="X19" s="20"/>
      <c r="Y19" s="20"/>
      <c r="Z19" s="20"/>
      <c r="AB19" s="121" t="s">
        <v>152</v>
      </c>
      <c r="AC19" s="121"/>
      <c r="AD19" s="121"/>
      <c r="AE19" s="121"/>
      <c r="AF19" s="121"/>
      <c r="AG19" s="121"/>
    </row>
    <row r="20" spans="3:33" ht="16" customHeight="1">
      <c r="C20" t="s">
        <v>26</v>
      </c>
      <c r="E20" s="2" t="s">
        <v>7</v>
      </c>
      <c r="F20" s="1">
        <f>SUM(F10:F18)</f>
        <v>20</v>
      </c>
      <c r="G20" s="30">
        <f>SUM(G10:G15)</f>
        <v>560</v>
      </c>
      <c r="I20" s="87" t="s">
        <v>141</v>
      </c>
      <c r="J20" s="33"/>
      <c r="M20" s="34"/>
      <c r="N20" s="34"/>
      <c r="O20" s="34"/>
      <c r="S20" s="20"/>
    </row>
    <row r="21" spans="3:33" ht="17" thickBot="1">
      <c r="C21" t="s">
        <v>28</v>
      </c>
      <c r="E21" s="5" t="s">
        <v>6</v>
      </c>
      <c r="F21" s="6"/>
      <c r="G21" s="7">
        <f>SUM(F10:F15)</f>
        <v>16</v>
      </c>
      <c r="I21" s="88" t="s">
        <v>142</v>
      </c>
      <c r="J21" s="42"/>
      <c r="S21" s="20"/>
    </row>
    <row r="22" spans="3:33" ht="16" customHeight="1" thickBot="1">
      <c r="C22" t="s">
        <v>40</v>
      </c>
      <c r="J22" s="33"/>
      <c r="O22" s="40" t="s">
        <v>153</v>
      </c>
      <c r="S22" s="20"/>
    </row>
    <row r="23" spans="3:33">
      <c r="C23" t="s">
        <v>65</v>
      </c>
      <c r="D23" t="s">
        <v>82</v>
      </c>
      <c r="E23" t="s">
        <v>83</v>
      </c>
      <c r="I23" s="87" t="s">
        <v>143</v>
      </c>
      <c r="N23">
        <v>1</v>
      </c>
      <c r="O23" t="s">
        <v>155</v>
      </c>
    </row>
    <row r="24" spans="3:33" ht="17" thickBot="1">
      <c r="C24" t="s">
        <v>84</v>
      </c>
      <c r="I24" s="88" t="s">
        <v>144</v>
      </c>
      <c r="K24" s="12"/>
      <c r="N24">
        <v>2</v>
      </c>
      <c r="O24" t="s">
        <v>156</v>
      </c>
    </row>
    <row r="25" spans="3:33" ht="17" thickBot="1">
      <c r="C25" t="s">
        <v>147</v>
      </c>
      <c r="N25">
        <v>3</v>
      </c>
      <c r="O25" t="s">
        <v>157</v>
      </c>
    </row>
    <row r="26" spans="3:33" ht="17" customHeight="1">
      <c r="C26" s="20" t="s">
        <v>94</v>
      </c>
      <c r="E26" s="35"/>
      <c r="F26" s="35"/>
      <c r="G26" s="35"/>
      <c r="H26" s="35"/>
      <c r="I26" s="87" t="s">
        <v>145</v>
      </c>
      <c r="N26">
        <v>4</v>
      </c>
      <c r="O26" t="s">
        <v>158</v>
      </c>
    </row>
    <row r="27" spans="3:33" ht="17" thickBot="1">
      <c r="C27" s="20" t="s">
        <v>95</v>
      </c>
      <c r="E27" s="35"/>
      <c r="F27" s="35"/>
      <c r="G27" s="35"/>
      <c r="H27" s="35"/>
      <c r="I27" s="88" t="s">
        <v>146</v>
      </c>
    </row>
    <row r="28" spans="3:33">
      <c r="C28" t="s">
        <v>70</v>
      </c>
      <c r="N28">
        <v>5</v>
      </c>
      <c r="O28" t="s">
        <v>159</v>
      </c>
    </row>
    <row r="29" spans="3:33" ht="15" customHeight="1">
      <c r="C29" s="20" t="s">
        <v>148</v>
      </c>
      <c r="L29" s="26"/>
      <c r="N29">
        <v>6</v>
      </c>
      <c r="O29" t="s">
        <v>160</v>
      </c>
    </row>
    <row r="30" spans="3:33">
      <c r="N30">
        <v>7</v>
      </c>
      <c r="O30" t="s">
        <v>161</v>
      </c>
    </row>
    <row r="31" spans="3:33" ht="17">
      <c r="C31" s="12" t="s">
        <v>1</v>
      </c>
      <c r="D31" s="12" t="s">
        <v>17</v>
      </c>
      <c r="E31" s="12" t="s">
        <v>18</v>
      </c>
      <c r="F31" s="12" t="s">
        <v>20</v>
      </c>
      <c r="G31" s="12" t="s">
        <v>19</v>
      </c>
      <c r="H31" s="12"/>
      <c r="I31" s="14" t="s">
        <v>16</v>
      </c>
      <c r="K31" s="32" t="s">
        <v>14</v>
      </c>
      <c r="L31" s="12" t="s">
        <v>15</v>
      </c>
      <c r="N31">
        <v>8</v>
      </c>
      <c r="O31" t="s">
        <v>162</v>
      </c>
    </row>
    <row r="32" spans="3:33">
      <c r="C32" s="2" t="s">
        <v>80</v>
      </c>
      <c r="D32" s="1">
        <v>100</v>
      </c>
      <c r="E32" s="1">
        <v>50</v>
      </c>
      <c r="F32" s="1">
        <v>0.5</v>
      </c>
      <c r="G32" s="1">
        <f>F32*1000</f>
        <v>500</v>
      </c>
      <c r="H32" s="1"/>
      <c r="I32" s="1">
        <f>($F$19*F32)/E32</f>
        <v>0.2</v>
      </c>
      <c r="K32" s="38"/>
      <c r="L32" s="13"/>
    </row>
    <row r="33" spans="3:32">
      <c r="C33" s="2" t="s">
        <v>81</v>
      </c>
      <c r="D33" s="1">
        <v>100</v>
      </c>
      <c r="E33" s="1">
        <v>5</v>
      </c>
      <c r="F33" s="1">
        <v>0.05</v>
      </c>
      <c r="G33" s="1">
        <f t="shared" ref="G33" si="2">F33*1000</f>
        <v>50</v>
      </c>
      <c r="H33" s="1"/>
      <c r="I33" s="1">
        <f>($F$19*F33)/E33</f>
        <v>0.2</v>
      </c>
      <c r="K33" s="38"/>
      <c r="L33" s="13"/>
      <c r="N33">
        <v>9</v>
      </c>
      <c r="O33" t="s">
        <v>133</v>
      </c>
    </row>
    <row r="34" spans="3:32" ht="15" customHeight="1">
      <c r="N34">
        <v>10</v>
      </c>
      <c r="O34" t="s">
        <v>134</v>
      </c>
    </row>
    <row r="35" spans="3:32" ht="15" customHeight="1">
      <c r="C35" s="54" t="s">
        <v>46</v>
      </c>
      <c r="D35" s="54" t="s">
        <v>47</v>
      </c>
      <c r="E35" s="54" t="s">
        <v>48</v>
      </c>
      <c r="F35" s="54" t="s">
        <v>49</v>
      </c>
      <c r="G35" s="54" t="s">
        <v>50</v>
      </c>
      <c r="H35" s="54" t="s">
        <v>51</v>
      </c>
      <c r="I35" s="108" t="s">
        <v>52</v>
      </c>
      <c r="J35" s="108"/>
      <c r="K35" s="108"/>
      <c r="L35" s="108"/>
    </row>
    <row r="36" spans="3:32" ht="35" customHeight="1">
      <c r="C36" s="55" t="s">
        <v>53</v>
      </c>
      <c r="D36" s="56" t="s">
        <v>54</v>
      </c>
      <c r="E36" s="57" t="s">
        <v>55</v>
      </c>
      <c r="F36" s="57" t="s">
        <v>55</v>
      </c>
      <c r="G36" s="58" t="s">
        <v>73</v>
      </c>
      <c r="H36" s="59">
        <v>200</v>
      </c>
      <c r="I36" s="107"/>
      <c r="J36" s="107"/>
      <c r="K36" s="107"/>
      <c r="L36" s="107"/>
    </row>
    <row r="37" spans="3:32" ht="33" customHeight="1" thickBot="1">
      <c r="C37" s="55" t="s">
        <v>53</v>
      </c>
      <c r="D37" s="60" t="s">
        <v>56</v>
      </c>
      <c r="E37" s="74" t="s">
        <v>66</v>
      </c>
      <c r="F37" s="74" t="s">
        <v>67</v>
      </c>
      <c r="G37" s="58" t="s">
        <v>74</v>
      </c>
      <c r="H37" s="55">
        <v>200</v>
      </c>
      <c r="I37" s="107"/>
      <c r="J37" s="107"/>
      <c r="K37" s="107"/>
      <c r="L37" s="107"/>
      <c r="S37" s="20"/>
      <c r="T37" s="37"/>
      <c r="U37" s="63">
        <v>1</v>
      </c>
      <c r="V37" s="63">
        <v>2</v>
      </c>
      <c r="W37" s="63">
        <v>3</v>
      </c>
      <c r="X37" s="63">
        <v>4</v>
      </c>
      <c r="Y37" s="63">
        <v>5</v>
      </c>
      <c r="Z37" s="63">
        <v>6</v>
      </c>
      <c r="AA37" s="63">
        <v>7</v>
      </c>
      <c r="AB37" s="37">
        <v>8</v>
      </c>
      <c r="AC37" s="37">
        <v>9</v>
      </c>
      <c r="AD37" s="37">
        <v>10</v>
      </c>
      <c r="AE37" s="37">
        <v>11</v>
      </c>
      <c r="AF37" s="37">
        <v>12</v>
      </c>
    </row>
    <row r="38" spans="3:32" ht="17" thickBot="1">
      <c r="C38" t="s">
        <v>68</v>
      </c>
      <c r="Q38" s="85" t="s">
        <v>111</v>
      </c>
      <c r="R38" s="85" t="s">
        <v>109</v>
      </c>
      <c r="S38" s="20"/>
      <c r="T38" s="65" t="s">
        <v>30</v>
      </c>
      <c r="U38" s="79"/>
      <c r="V38" s="78"/>
      <c r="W38" s="91" t="s">
        <v>99</v>
      </c>
      <c r="X38" s="92"/>
      <c r="Y38" s="93" t="s">
        <v>96</v>
      </c>
      <c r="Z38" s="94"/>
      <c r="AA38" s="95" t="s">
        <v>97</v>
      </c>
      <c r="AB38" s="96"/>
      <c r="AC38" s="97" t="s">
        <v>98</v>
      </c>
      <c r="AD38" s="98"/>
      <c r="AE38" s="77"/>
      <c r="AF38" s="77"/>
    </row>
    <row r="39" spans="3:32" ht="17" thickBot="1">
      <c r="C39" t="s">
        <v>57</v>
      </c>
      <c r="Q39" s="89" t="s">
        <v>110</v>
      </c>
      <c r="R39" s="19">
        <v>399</v>
      </c>
      <c r="S39" s="20"/>
      <c r="T39" s="36" t="s">
        <v>31</v>
      </c>
      <c r="U39" s="79"/>
      <c r="V39" s="78"/>
      <c r="W39" s="91" t="s">
        <v>100</v>
      </c>
      <c r="X39" s="92"/>
      <c r="Y39" s="93" t="s">
        <v>101</v>
      </c>
      <c r="Z39" s="94"/>
      <c r="AA39" s="95" t="s">
        <v>102</v>
      </c>
      <c r="AB39" s="96"/>
      <c r="AC39" s="97" t="s">
        <v>103</v>
      </c>
      <c r="AD39" s="98"/>
      <c r="AE39" s="77"/>
      <c r="AF39" s="77"/>
    </row>
    <row r="40" spans="3:32" ht="17" thickBot="1">
      <c r="Q40" s="89" t="s">
        <v>104</v>
      </c>
      <c r="R40" s="19">
        <v>478</v>
      </c>
      <c r="S40" s="20"/>
      <c r="T40" s="36" t="s">
        <v>32</v>
      </c>
      <c r="U40" s="79"/>
      <c r="V40" s="78"/>
      <c r="W40" s="91" t="s">
        <v>112</v>
      </c>
      <c r="X40" s="92"/>
      <c r="Y40" s="93" t="s">
        <v>113</v>
      </c>
      <c r="Z40" s="94"/>
      <c r="AA40" s="95" t="s">
        <v>114</v>
      </c>
      <c r="AB40" s="96"/>
      <c r="AC40" s="97" t="s">
        <v>115</v>
      </c>
      <c r="AD40" s="98"/>
      <c r="AE40" s="77"/>
      <c r="AF40" s="77"/>
    </row>
    <row r="41" spans="3:32" ht="17" thickBot="1">
      <c r="C41" s="20" t="s">
        <v>91</v>
      </c>
      <c r="Q41" s="89" t="s">
        <v>105</v>
      </c>
      <c r="R41" s="19">
        <v>479</v>
      </c>
      <c r="S41" s="20"/>
      <c r="T41" s="36" t="s">
        <v>33</v>
      </c>
      <c r="U41" s="79"/>
      <c r="V41" s="78"/>
      <c r="W41" s="91" t="s">
        <v>116</v>
      </c>
      <c r="X41" s="92"/>
      <c r="Y41" s="93" t="s">
        <v>117</v>
      </c>
      <c r="Z41" s="94"/>
      <c r="AA41" s="95" t="s">
        <v>118</v>
      </c>
      <c r="AB41" s="96"/>
      <c r="AC41" s="97" t="s">
        <v>119</v>
      </c>
      <c r="AD41" s="98"/>
      <c r="AE41" s="77"/>
      <c r="AF41" s="77"/>
    </row>
    <row r="42" spans="3:32" ht="17" thickBot="1">
      <c r="C42" s="20" t="s">
        <v>90</v>
      </c>
      <c r="Q42" s="89" t="s">
        <v>106</v>
      </c>
      <c r="R42" s="19">
        <v>480</v>
      </c>
      <c r="S42" s="20"/>
      <c r="T42" s="36" t="s">
        <v>34</v>
      </c>
      <c r="U42" s="79"/>
      <c r="V42" s="78"/>
      <c r="W42" s="91" t="s">
        <v>120</v>
      </c>
      <c r="X42" s="92"/>
      <c r="Y42" s="93" t="s">
        <v>121</v>
      </c>
      <c r="Z42" s="94"/>
      <c r="AA42" s="95" t="s">
        <v>122</v>
      </c>
      <c r="AB42" s="96"/>
      <c r="AC42" s="97" t="s">
        <v>123</v>
      </c>
      <c r="AD42" s="98"/>
      <c r="AE42" s="78"/>
      <c r="AF42" s="77"/>
    </row>
    <row r="43" spans="3:32" ht="17" thickBot="1">
      <c r="Q43" s="89" t="s">
        <v>107</v>
      </c>
      <c r="R43" s="19">
        <v>481</v>
      </c>
      <c r="S43" s="20"/>
      <c r="T43" s="36" t="s">
        <v>35</v>
      </c>
      <c r="U43" s="79"/>
      <c r="V43" s="78"/>
      <c r="W43" s="91" t="s">
        <v>124</v>
      </c>
      <c r="X43" s="92"/>
      <c r="Y43" s="93" t="s">
        <v>125</v>
      </c>
      <c r="Z43" s="94"/>
      <c r="AA43" s="95" t="s">
        <v>126</v>
      </c>
      <c r="AB43" s="96"/>
      <c r="AC43" s="97" t="s">
        <v>127</v>
      </c>
      <c r="AD43" s="98"/>
      <c r="AE43" s="77"/>
      <c r="AF43" s="77"/>
    </row>
    <row r="44" spans="3:32" ht="17" thickBot="1">
      <c r="Q44" s="89" t="s">
        <v>108</v>
      </c>
      <c r="R44" s="19">
        <v>482</v>
      </c>
      <c r="S44" s="20"/>
      <c r="T44" s="36" t="s">
        <v>36</v>
      </c>
      <c r="U44" s="79"/>
      <c r="V44" s="78"/>
      <c r="W44" s="91" t="s">
        <v>128</v>
      </c>
      <c r="X44" s="92"/>
      <c r="Y44" s="93" t="s">
        <v>129</v>
      </c>
      <c r="Z44" s="94"/>
      <c r="AA44" s="95" t="s">
        <v>130</v>
      </c>
      <c r="AB44" s="96"/>
      <c r="AC44" s="97" t="s">
        <v>131</v>
      </c>
      <c r="AD44" s="98"/>
      <c r="AE44" s="77"/>
      <c r="AF44" s="77"/>
    </row>
    <row r="45" spans="3:32" ht="17" thickBot="1">
      <c r="Q45" s="62"/>
      <c r="S45" s="20"/>
      <c r="T45" s="36" t="s">
        <v>37</v>
      </c>
      <c r="U45" s="79"/>
      <c r="V45" s="78"/>
      <c r="W45" s="78"/>
      <c r="X45" s="78"/>
      <c r="Y45" s="78"/>
      <c r="Z45" s="78"/>
      <c r="AA45" s="78"/>
      <c r="AB45" s="78"/>
      <c r="AC45" s="78"/>
      <c r="AD45" s="77"/>
      <c r="AE45" s="77"/>
      <c r="AF45" s="77"/>
    </row>
    <row r="47" spans="3:32" ht="16" customHeight="1"/>
    <row r="48" spans="3:32">
      <c r="C48" s="64" t="s">
        <v>59</v>
      </c>
    </row>
    <row r="49" spans="3:3">
      <c r="C49" s="64" t="s">
        <v>63</v>
      </c>
    </row>
    <row r="54" spans="3:3" ht="16" customHeight="1"/>
    <row r="60" spans="3:3" ht="37" customHeight="1"/>
    <row r="66" spans="2:2">
      <c r="B66" s="15"/>
    </row>
    <row r="67" spans="2:2">
      <c r="B67" s="15"/>
    </row>
  </sheetData>
  <mergeCells count="68">
    <mergeCell ref="W8:X8"/>
    <mergeCell ref="Y8:Z8"/>
    <mergeCell ref="AA8:AB8"/>
    <mergeCell ref="AC8:AD8"/>
    <mergeCell ref="W9:X9"/>
    <mergeCell ref="Y9:Z9"/>
    <mergeCell ref="AA9:AB9"/>
    <mergeCell ref="AC9:AD9"/>
    <mergeCell ref="Y11:Z11"/>
    <mergeCell ref="AA11:AB11"/>
    <mergeCell ref="AC11:AD11"/>
    <mergeCell ref="W12:X12"/>
    <mergeCell ref="Y12:Z12"/>
    <mergeCell ref="AA12:AB12"/>
    <mergeCell ref="AC12:AD12"/>
    <mergeCell ref="W11:X11"/>
    <mergeCell ref="M6:M7"/>
    <mergeCell ref="C6:D6"/>
    <mergeCell ref="E6:E7"/>
    <mergeCell ref="C7:D7"/>
    <mergeCell ref="F7:G7"/>
    <mergeCell ref="H2:I8"/>
    <mergeCell ref="I37:L37"/>
    <mergeCell ref="I35:L35"/>
    <mergeCell ref="I36:L36"/>
    <mergeCell ref="M19:O19"/>
    <mergeCell ref="M17:O18"/>
    <mergeCell ref="H9:I9"/>
    <mergeCell ref="N13:O13"/>
    <mergeCell ref="N14:O14"/>
    <mergeCell ref="M15:O16"/>
    <mergeCell ref="W13:X13"/>
    <mergeCell ref="W38:X38"/>
    <mergeCell ref="Y38:Z38"/>
    <mergeCell ref="AA38:AB38"/>
    <mergeCell ref="AC38:AD38"/>
    <mergeCell ref="Y13:Z13"/>
    <mergeCell ref="AA13:AB13"/>
    <mergeCell ref="AC13:AD13"/>
    <mergeCell ref="W14:X14"/>
    <mergeCell ref="Y14:Z14"/>
    <mergeCell ref="AA14:AB14"/>
    <mergeCell ref="AC14:AD14"/>
    <mergeCell ref="AB19:AG19"/>
    <mergeCell ref="W39:X39"/>
    <mergeCell ref="Y39:Z39"/>
    <mergeCell ref="AA39:AB39"/>
    <mergeCell ref="AC39:AD39"/>
    <mergeCell ref="W40:X40"/>
    <mergeCell ref="Y40:Z40"/>
    <mergeCell ref="AA40:AB40"/>
    <mergeCell ref="AC40:AD40"/>
    <mergeCell ref="W41:X41"/>
    <mergeCell ref="Y41:Z41"/>
    <mergeCell ref="AA41:AB41"/>
    <mergeCell ref="AC41:AD41"/>
    <mergeCell ref="W42:X42"/>
    <mergeCell ref="Y42:Z42"/>
    <mergeCell ref="AA42:AB42"/>
    <mergeCell ref="AC42:AD42"/>
    <mergeCell ref="W43:X43"/>
    <mergeCell ref="Y43:Z43"/>
    <mergeCell ref="AA43:AB43"/>
    <mergeCell ref="AC43:AD43"/>
    <mergeCell ref="W44:X44"/>
    <mergeCell ref="Y44:Z44"/>
    <mergeCell ref="AA44:AB44"/>
    <mergeCell ref="AC44:AD44"/>
  </mergeCells>
  <phoneticPr fontId="10" type="noConversion"/>
  <pageMargins left="0.7" right="0.7" top="0.75" bottom="0.75" header="0.3" footer="0.3"/>
  <pageSetup scale="16" orientation="portrait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9A8B-E419-634F-B18A-5F27FFB27404}">
  <sheetPr>
    <pageSetUpPr fitToPage="1"/>
  </sheetPr>
  <dimension ref="B1:AG67"/>
  <sheetViews>
    <sheetView tabSelected="1" zoomScale="110" zoomScaleNormal="160" workbookViewId="0">
      <selection activeCell="F24" sqref="F24"/>
    </sheetView>
  </sheetViews>
  <sheetFormatPr baseColWidth="10" defaultColWidth="11" defaultRowHeight="16"/>
  <cols>
    <col min="1" max="1" width="13.5" customWidth="1"/>
    <col min="2" max="2" width="5.6640625" customWidth="1"/>
    <col min="3" max="3" width="46.5" customWidth="1"/>
    <col min="4" max="4" width="31.1640625" customWidth="1"/>
    <col min="5" max="5" width="15.1640625" customWidth="1"/>
    <col min="6" max="6" width="18" customWidth="1"/>
    <col min="7" max="7" width="17.1640625" customWidth="1"/>
    <col min="8" max="8" width="7" customWidth="1"/>
    <col min="9" max="9" width="62.1640625" customWidth="1"/>
    <col min="10" max="10" width="3" customWidth="1"/>
    <col min="11" max="11" width="36.83203125" customWidth="1"/>
    <col min="12" max="12" width="78" customWidth="1"/>
    <col min="13" max="13" width="45" customWidth="1"/>
    <col min="14" max="14" width="9.5" bestFit="1" customWidth="1"/>
    <col min="15" max="15" width="12.6640625" bestFit="1" customWidth="1"/>
    <col min="16" max="16" width="7.33203125" customWidth="1"/>
    <col min="17" max="17" width="19" bestFit="1" customWidth="1"/>
    <col min="18" max="18" width="5.33203125" customWidth="1"/>
    <col min="19" max="19" width="2.33203125" customWidth="1"/>
    <col min="20" max="32" width="4.83203125" customWidth="1"/>
    <col min="33" max="36" width="2.83203125" customWidth="1"/>
    <col min="37" max="37" width="4" customWidth="1"/>
    <col min="38" max="38" width="4.6640625" customWidth="1"/>
    <col min="39" max="39" width="4.5" customWidth="1"/>
    <col min="40" max="40" width="4.1640625" customWidth="1"/>
    <col min="41" max="41" width="3.6640625" customWidth="1"/>
    <col min="42" max="42" width="5.5" customWidth="1"/>
    <col min="43" max="43" width="3.83203125" customWidth="1"/>
    <col min="44" max="44" width="3.33203125" customWidth="1"/>
    <col min="45" max="45" width="2.83203125" customWidth="1"/>
    <col min="46" max="46" width="4.1640625" customWidth="1"/>
    <col min="47" max="47" width="5.6640625" customWidth="1"/>
    <col min="48" max="48" width="3.1640625" bestFit="1" customWidth="1"/>
  </cols>
  <sheetData>
    <row r="1" spans="3:33" ht="16" customHeight="1"/>
    <row r="2" spans="3:33" ht="17" customHeight="1" thickBot="1"/>
    <row r="3" spans="3:33" ht="17" customHeight="1" thickBot="1">
      <c r="C3" s="8"/>
      <c r="D3" s="27" t="s">
        <v>135</v>
      </c>
    </row>
    <row r="4" spans="3:33" ht="17" thickBot="1">
      <c r="C4" s="8" t="s">
        <v>0</v>
      </c>
      <c r="D4" s="3">
        <v>45517</v>
      </c>
      <c r="U4" s="20" t="s">
        <v>70</v>
      </c>
    </row>
    <row r="5" spans="3:33" ht="17" thickBot="1">
      <c r="E5" s="83" t="s">
        <v>136</v>
      </c>
      <c r="F5" s="8" t="s">
        <v>2</v>
      </c>
      <c r="G5" s="4">
        <v>24</v>
      </c>
      <c r="S5" s="2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</row>
    <row r="6" spans="3:33" ht="17" thickBot="1">
      <c r="C6" s="112" t="s">
        <v>39</v>
      </c>
      <c r="D6" s="113"/>
      <c r="E6" s="114" t="s">
        <v>154</v>
      </c>
      <c r="M6" s="106" t="s">
        <v>60</v>
      </c>
      <c r="S6" s="2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</row>
    <row r="7" spans="3:33" ht="17" thickBot="1">
      <c r="C7" s="115" t="s">
        <v>64</v>
      </c>
      <c r="D7" s="116"/>
      <c r="E7" s="114"/>
      <c r="F7" s="117" t="s">
        <v>3</v>
      </c>
      <c r="G7" s="118"/>
      <c r="L7" s="28"/>
      <c r="M7" s="111"/>
      <c r="N7" s="43" t="s">
        <v>9</v>
      </c>
      <c r="O7" s="43" t="s">
        <v>10</v>
      </c>
      <c r="S7" s="20"/>
      <c r="T7" s="37"/>
      <c r="U7" s="63">
        <v>1</v>
      </c>
      <c r="V7" s="63">
        <v>2</v>
      </c>
      <c r="W7" s="63">
        <v>3</v>
      </c>
      <c r="X7" s="63">
        <v>4</v>
      </c>
      <c r="Y7" s="63">
        <v>5</v>
      </c>
      <c r="Z7" s="63">
        <v>6</v>
      </c>
      <c r="AA7" s="63">
        <v>7</v>
      </c>
      <c r="AB7" s="37">
        <v>8</v>
      </c>
      <c r="AC7" s="37">
        <v>9</v>
      </c>
      <c r="AD7" s="37">
        <v>10</v>
      </c>
      <c r="AE7" s="37">
        <v>11</v>
      </c>
      <c r="AF7" s="37">
        <v>12</v>
      </c>
    </row>
    <row r="8" spans="3:33" ht="18" customHeight="1" thickBot="1">
      <c r="F8" s="5">
        <v>1</v>
      </c>
      <c r="G8" s="11">
        <v>35</v>
      </c>
      <c r="M8" s="44" t="s">
        <v>38</v>
      </c>
      <c r="N8" s="45">
        <v>95</v>
      </c>
      <c r="O8" s="46">
        <v>8.3333333333333329E-2</v>
      </c>
      <c r="Q8" s="85" t="s">
        <v>111</v>
      </c>
      <c r="R8" s="85" t="s">
        <v>109</v>
      </c>
      <c r="S8" s="20"/>
      <c r="T8" s="65" t="s">
        <v>30</v>
      </c>
      <c r="U8" s="79"/>
      <c r="V8" s="78"/>
      <c r="W8" s="91" t="s">
        <v>99</v>
      </c>
      <c r="X8" s="92"/>
      <c r="Y8" s="93" t="s">
        <v>96</v>
      </c>
      <c r="Z8" s="94"/>
      <c r="AA8" s="95" t="s">
        <v>97</v>
      </c>
      <c r="AB8" s="96"/>
      <c r="AC8" s="97" t="s">
        <v>98</v>
      </c>
      <c r="AD8" s="98"/>
      <c r="AE8" s="77"/>
      <c r="AF8" s="77"/>
      <c r="AG8" t="s">
        <v>149</v>
      </c>
    </row>
    <row r="9" spans="3:33" ht="18" customHeight="1" thickBot="1">
      <c r="C9" s="9" t="s">
        <v>1</v>
      </c>
      <c r="D9" s="10" t="s">
        <v>21</v>
      </c>
      <c r="E9" s="10" t="s">
        <v>22</v>
      </c>
      <c r="F9" s="10" t="s">
        <v>12</v>
      </c>
      <c r="G9" s="24" t="s">
        <v>13</v>
      </c>
      <c r="H9" s="99" t="s">
        <v>23</v>
      </c>
      <c r="I9" s="100"/>
      <c r="K9" s="33"/>
      <c r="M9" s="49" t="s">
        <v>27</v>
      </c>
      <c r="N9" s="1">
        <v>95</v>
      </c>
      <c r="O9" s="50">
        <v>3.472222222222222E-3</v>
      </c>
      <c r="Q9" s="89" t="s">
        <v>110</v>
      </c>
      <c r="R9" s="19">
        <v>399</v>
      </c>
      <c r="S9" s="20"/>
      <c r="T9" s="36" t="s">
        <v>31</v>
      </c>
      <c r="U9" s="79"/>
      <c r="V9" s="78"/>
      <c r="W9" s="91" t="s">
        <v>99</v>
      </c>
      <c r="X9" s="92"/>
      <c r="Y9" s="93" t="s">
        <v>96</v>
      </c>
      <c r="Z9" s="94"/>
      <c r="AA9" s="95" t="s">
        <v>97</v>
      </c>
      <c r="AB9" s="96"/>
      <c r="AC9" s="97" t="s">
        <v>98</v>
      </c>
      <c r="AD9" s="98"/>
      <c r="AE9" s="77"/>
      <c r="AF9" s="77"/>
      <c r="AG9" t="s">
        <v>150</v>
      </c>
    </row>
    <row r="10" spans="3:33" ht="18" customHeight="1" thickBot="1">
      <c r="C10" s="2" t="s">
        <v>4</v>
      </c>
      <c r="D10" s="1"/>
      <c r="E10" s="1"/>
      <c r="F10" s="22">
        <f>F19-SUM(F11:F18)</f>
        <v>0</v>
      </c>
      <c r="G10" s="25">
        <f>F10*$G$8</f>
        <v>0</v>
      </c>
      <c r="H10" s="29"/>
      <c r="I10" s="75" t="str">
        <f>C10</f>
        <v>Nuclease-free water</v>
      </c>
      <c r="L10" s="26"/>
      <c r="M10" s="51" t="s">
        <v>86</v>
      </c>
      <c r="N10" s="61">
        <v>61</v>
      </c>
      <c r="O10" s="50">
        <v>1.3888888888888888E-2</v>
      </c>
      <c r="Q10" s="89" t="s">
        <v>104</v>
      </c>
      <c r="R10" s="19">
        <v>478</v>
      </c>
      <c r="S10" s="20"/>
      <c r="T10" s="36" t="s">
        <v>32</v>
      </c>
      <c r="U10" s="79"/>
      <c r="V10" s="78"/>
      <c r="W10" s="78"/>
      <c r="X10" s="78"/>
      <c r="Y10" s="78"/>
      <c r="Z10" s="78"/>
      <c r="AA10" s="78"/>
      <c r="AB10" s="78"/>
      <c r="AC10" s="78"/>
      <c r="AD10" s="77"/>
      <c r="AE10" s="77"/>
      <c r="AF10" s="77"/>
    </row>
    <row r="11" spans="3:33" ht="18" customHeight="1" thickBot="1">
      <c r="C11" s="2" t="s">
        <v>71</v>
      </c>
      <c r="D11" s="84" t="s">
        <v>138</v>
      </c>
      <c r="E11" s="90">
        <f>F32</f>
        <v>0.5</v>
      </c>
      <c r="F11" s="22">
        <f>F19*F32/E32</f>
        <v>0.2</v>
      </c>
      <c r="G11" s="25">
        <f t="shared" ref="G11:G12" si="0">F11*$G$8</f>
        <v>7</v>
      </c>
      <c r="H11" s="29"/>
      <c r="I11" s="76" t="str">
        <f t="shared" ref="I11:I12" si="1">C11</f>
        <v>rpoB F Primer (MEP409)</v>
      </c>
      <c r="M11" s="81" t="s">
        <v>87</v>
      </c>
      <c r="N11" s="66">
        <v>72</v>
      </c>
      <c r="O11" s="82">
        <v>6.9444444444444447E-4</v>
      </c>
      <c r="Q11" s="89"/>
      <c r="R11" s="19"/>
      <c r="S11" s="20"/>
      <c r="T11" s="36" t="s">
        <v>33</v>
      </c>
      <c r="U11" s="79"/>
      <c r="V11" s="78"/>
      <c r="W11" s="91" t="s">
        <v>100</v>
      </c>
      <c r="X11" s="92"/>
      <c r="Y11" s="93" t="s">
        <v>101</v>
      </c>
      <c r="Z11" s="94"/>
      <c r="AA11" s="95" t="s">
        <v>102</v>
      </c>
      <c r="AB11" s="96"/>
      <c r="AC11" s="97" t="s">
        <v>103</v>
      </c>
      <c r="AD11" s="98"/>
      <c r="AE11" s="77"/>
      <c r="AF11" s="77"/>
      <c r="AG11" t="s">
        <v>149</v>
      </c>
    </row>
    <row r="12" spans="3:33" ht="18" customHeight="1" thickBot="1">
      <c r="C12" s="2" t="s">
        <v>72</v>
      </c>
      <c r="D12" s="84" t="s">
        <v>139</v>
      </c>
      <c r="E12" s="90">
        <f>F33</f>
        <v>0.05</v>
      </c>
      <c r="F12" s="22">
        <f>F19*F33/E33</f>
        <v>0.2</v>
      </c>
      <c r="G12" s="25">
        <f t="shared" si="0"/>
        <v>7</v>
      </c>
      <c r="H12" s="29"/>
      <c r="I12" s="76" t="str">
        <f t="shared" si="1"/>
        <v>rpoB R Primer (MEP410)</v>
      </c>
      <c r="L12" s="26"/>
      <c r="M12" s="52" t="s">
        <v>11</v>
      </c>
      <c r="N12" s="86">
        <v>40</v>
      </c>
      <c r="O12" s="53"/>
      <c r="Q12" s="89"/>
      <c r="R12" s="19"/>
      <c r="S12" s="20"/>
      <c r="T12" s="36" t="s">
        <v>34</v>
      </c>
      <c r="U12" s="79"/>
      <c r="V12" s="78"/>
      <c r="W12" s="91" t="s">
        <v>100</v>
      </c>
      <c r="X12" s="92"/>
      <c r="Y12" s="93" t="s">
        <v>101</v>
      </c>
      <c r="Z12" s="94"/>
      <c r="AA12" s="95" t="s">
        <v>102</v>
      </c>
      <c r="AB12" s="96"/>
      <c r="AC12" s="97" t="s">
        <v>103</v>
      </c>
      <c r="AD12" s="98"/>
      <c r="AE12" s="78"/>
      <c r="AF12" s="77"/>
      <c r="AG12" t="s">
        <v>150</v>
      </c>
    </row>
    <row r="13" spans="3:33" ht="17" customHeight="1" thickBot="1">
      <c r="C13" s="2" t="s">
        <v>44</v>
      </c>
      <c r="D13" s="21" t="s">
        <v>25</v>
      </c>
      <c r="E13" s="21" t="s">
        <v>24</v>
      </c>
      <c r="F13" s="22">
        <f>F19/2</f>
        <v>10</v>
      </c>
      <c r="G13" s="25">
        <f>F13*$G$8</f>
        <v>350</v>
      </c>
      <c r="H13" s="29"/>
      <c r="I13" s="76" t="str">
        <f>C13</f>
        <v>SensiFAST Probe No-ROX Kit</v>
      </c>
      <c r="L13" s="26"/>
      <c r="M13" s="47" t="s">
        <v>88</v>
      </c>
      <c r="N13" s="101" t="s">
        <v>41</v>
      </c>
      <c r="O13" s="102"/>
      <c r="Q13" s="89"/>
      <c r="R13" s="19"/>
      <c r="S13" s="20"/>
      <c r="T13" s="36" t="s">
        <v>35</v>
      </c>
      <c r="U13" s="79"/>
      <c r="V13" s="78"/>
      <c r="W13" s="91" t="s">
        <v>112</v>
      </c>
      <c r="X13" s="92"/>
      <c r="Y13" s="93" t="s">
        <v>113</v>
      </c>
      <c r="Z13" s="94"/>
      <c r="AA13" s="95" t="s">
        <v>114</v>
      </c>
      <c r="AB13" s="96"/>
      <c r="AC13" s="97" t="s">
        <v>115</v>
      </c>
      <c r="AD13" s="98"/>
      <c r="AE13" s="77"/>
      <c r="AF13" s="77"/>
      <c r="AG13" t="s">
        <v>149</v>
      </c>
    </row>
    <row r="14" spans="3:33" ht="18" customHeight="1" thickBot="1">
      <c r="C14" s="2" t="s">
        <v>43</v>
      </c>
      <c r="D14" s="21" t="s">
        <v>45</v>
      </c>
      <c r="E14" s="84" t="s">
        <v>25</v>
      </c>
      <c r="F14" s="22">
        <f>F19*2/10</f>
        <v>4</v>
      </c>
      <c r="G14" s="25">
        <f>F14*$G$8</f>
        <v>140</v>
      </c>
      <c r="H14" s="29"/>
      <c r="I14" s="76" t="str">
        <f>C14</f>
        <v>LC Green Plus</v>
      </c>
      <c r="L14" s="26"/>
      <c r="M14" s="48" t="s">
        <v>42</v>
      </c>
      <c r="N14" s="103" t="s">
        <v>85</v>
      </c>
      <c r="O14" s="104"/>
      <c r="Q14" s="89"/>
      <c r="R14" s="19"/>
      <c r="S14" s="20"/>
      <c r="T14" s="36" t="s">
        <v>36</v>
      </c>
      <c r="U14" s="79"/>
      <c r="V14" s="78"/>
      <c r="W14" s="91" t="s">
        <v>112</v>
      </c>
      <c r="X14" s="92"/>
      <c r="Y14" s="93" t="s">
        <v>113</v>
      </c>
      <c r="Z14" s="94"/>
      <c r="AA14" s="95" t="s">
        <v>114</v>
      </c>
      <c r="AB14" s="96"/>
      <c r="AC14" s="97" t="s">
        <v>115</v>
      </c>
      <c r="AD14" s="98"/>
      <c r="AE14" s="77"/>
      <c r="AF14" s="77"/>
      <c r="AG14" t="s">
        <v>151</v>
      </c>
    </row>
    <row r="15" spans="3:33" ht="18" customHeight="1" thickBot="1">
      <c r="C15" s="2" t="s">
        <v>61</v>
      </c>
      <c r="D15" s="21" t="s">
        <v>140</v>
      </c>
      <c r="E15" s="84" t="s">
        <v>62</v>
      </c>
      <c r="F15" s="22">
        <f>35*20/437.5</f>
        <v>1.6</v>
      </c>
      <c r="G15" s="25">
        <f>F15*$G$8</f>
        <v>56</v>
      </c>
      <c r="H15" s="29"/>
      <c r="I15" s="23" t="str">
        <f>C15</f>
        <v>NaCl Solution</v>
      </c>
      <c r="M15" s="105" t="s">
        <v>58</v>
      </c>
      <c r="N15" s="105"/>
      <c r="O15" s="105"/>
      <c r="Q15" s="62"/>
      <c r="S15" s="20"/>
      <c r="T15" s="36" t="s">
        <v>37</v>
      </c>
      <c r="U15" s="79"/>
      <c r="V15" s="78"/>
      <c r="W15" s="78"/>
      <c r="X15" s="78"/>
      <c r="Y15" s="78"/>
      <c r="Z15" s="78"/>
      <c r="AA15" s="78"/>
      <c r="AB15" s="78"/>
      <c r="AC15" s="78"/>
      <c r="AD15" s="77"/>
      <c r="AE15" s="77"/>
      <c r="AF15" s="77"/>
    </row>
    <row r="16" spans="3:33" ht="17" thickBot="1">
      <c r="C16" s="67" t="s">
        <v>78</v>
      </c>
      <c r="D16" s="69" t="str">
        <f>D11</f>
        <v>50 uM</v>
      </c>
      <c r="E16" s="69">
        <f>E11</f>
        <v>0.5</v>
      </c>
      <c r="F16" s="70">
        <f>F19*E16/10</f>
        <v>1</v>
      </c>
      <c r="G16" s="71" t="s">
        <v>5</v>
      </c>
      <c r="H16" s="67" t="s">
        <v>75</v>
      </c>
      <c r="M16" s="106"/>
      <c r="N16" s="106"/>
      <c r="O16" s="106"/>
      <c r="Q16" s="20"/>
      <c r="S16" s="20"/>
    </row>
    <row r="17" spans="3:33" ht="17" thickBot="1">
      <c r="C17" s="67" t="s">
        <v>79</v>
      </c>
      <c r="D17" s="69" t="str">
        <f>D16</f>
        <v>50 uM</v>
      </c>
      <c r="E17" s="69">
        <f>E16</f>
        <v>0.5</v>
      </c>
      <c r="F17" s="70">
        <f>F19*E17/10</f>
        <v>1</v>
      </c>
      <c r="G17" s="71" t="s">
        <v>5</v>
      </c>
      <c r="H17" s="67" t="s">
        <v>76</v>
      </c>
      <c r="M17" s="110" t="s">
        <v>132</v>
      </c>
      <c r="N17" s="110"/>
      <c r="O17" s="110"/>
      <c r="S17" s="20"/>
      <c r="T17" s="12" t="s">
        <v>92</v>
      </c>
    </row>
    <row r="18" spans="3:33" ht="16" customHeight="1">
      <c r="C18" s="31" t="s">
        <v>77</v>
      </c>
      <c r="D18" s="69" t="s">
        <v>69</v>
      </c>
      <c r="E18" s="68"/>
      <c r="F18" s="72">
        <v>2</v>
      </c>
      <c r="G18" s="73" t="s">
        <v>5</v>
      </c>
      <c r="H18" s="31" t="s">
        <v>29</v>
      </c>
      <c r="K18" s="41"/>
      <c r="M18" s="110"/>
      <c r="N18" s="110"/>
      <c r="O18" s="110"/>
      <c r="R18" s="62"/>
      <c r="S18" s="20"/>
      <c r="T18" s="12" t="s">
        <v>93</v>
      </c>
      <c r="U18" s="20"/>
      <c r="AC18" s="20"/>
      <c r="AF18" s="20"/>
    </row>
    <row r="19" spans="3:33">
      <c r="E19" s="16" t="s">
        <v>8</v>
      </c>
      <c r="F19" s="17">
        <v>20</v>
      </c>
      <c r="G19" s="18"/>
      <c r="J19" s="41"/>
      <c r="M19" s="109" t="s">
        <v>89</v>
      </c>
      <c r="N19" s="109"/>
      <c r="O19" s="109"/>
      <c r="Q19" s="20"/>
      <c r="S19" s="20"/>
      <c r="T19" s="20"/>
      <c r="V19" s="20"/>
      <c r="W19" s="39"/>
      <c r="X19" s="20"/>
      <c r="Y19" s="20"/>
      <c r="Z19" s="20"/>
      <c r="AB19" s="121" t="s">
        <v>152</v>
      </c>
      <c r="AC19" s="121"/>
      <c r="AD19" s="121"/>
      <c r="AE19" s="121"/>
      <c r="AF19" s="121"/>
      <c r="AG19" s="121"/>
    </row>
    <row r="20" spans="3:33" ht="16" customHeight="1">
      <c r="E20" s="2" t="s">
        <v>7</v>
      </c>
      <c r="F20" s="1">
        <f>SUM(F10:F18)</f>
        <v>20</v>
      </c>
      <c r="G20" s="30">
        <f>SUM(G10:G15)</f>
        <v>560</v>
      </c>
      <c r="J20" s="33"/>
      <c r="M20" s="34"/>
      <c r="N20" s="34"/>
      <c r="O20" s="34"/>
      <c r="S20" s="20"/>
    </row>
    <row r="21" spans="3:33" ht="17" thickBot="1">
      <c r="E21" s="5" t="s">
        <v>6</v>
      </c>
      <c r="F21" s="6"/>
      <c r="G21" s="7">
        <f>SUM(F10:F15)</f>
        <v>16</v>
      </c>
      <c r="J21" s="42"/>
      <c r="S21" s="20"/>
    </row>
    <row r="22" spans="3:33" ht="16" customHeight="1">
      <c r="J22" s="33"/>
      <c r="O22" s="40" t="s">
        <v>153</v>
      </c>
      <c r="S22" s="20"/>
    </row>
    <row r="23" spans="3:33">
      <c r="N23">
        <v>1</v>
      </c>
      <c r="O23" t="s">
        <v>155</v>
      </c>
    </row>
    <row r="24" spans="3:33">
      <c r="K24" s="12"/>
      <c r="N24">
        <v>2</v>
      </c>
      <c r="O24" t="s">
        <v>156</v>
      </c>
    </row>
    <row r="25" spans="3:33">
      <c r="N25">
        <v>3</v>
      </c>
      <c r="O25" t="s">
        <v>157</v>
      </c>
    </row>
    <row r="26" spans="3:33" ht="17" customHeight="1">
      <c r="C26" s="20"/>
      <c r="E26" s="35"/>
      <c r="F26" s="35"/>
      <c r="G26" s="35"/>
      <c r="H26" s="35"/>
      <c r="N26">
        <v>4</v>
      </c>
      <c r="O26" t="s">
        <v>158</v>
      </c>
    </row>
    <row r="27" spans="3:33">
      <c r="C27" s="20"/>
      <c r="E27" s="35"/>
      <c r="F27" s="35"/>
      <c r="G27" s="35"/>
      <c r="H27" s="35"/>
    </row>
    <row r="28" spans="3:33">
      <c r="N28">
        <v>5</v>
      </c>
      <c r="O28" t="s">
        <v>159</v>
      </c>
    </row>
    <row r="29" spans="3:33" ht="15" customHeight="1">
      <c r="C29" s="20"/>
      <c r="L29" s="26"/>
      <c r="N29">
        <v>6</v>
      </c>
      <c r="O29" t="s">
        <v>160</v>
      </c>
    </row>
    <row r="30" spans="3:33">
      <c r="N30">
        <v>7</v>
      </c>
      <c r="O30" t="s">
        <v>161</v>
      </c>
    </row>
    <row r="31" spans="3:33" ht="17">
      <c r="C31" s="12" t="s">
        <v>1</v>
      </c>
      <c r="D31" s="12" t="s">
        <v>17</v>
      </c>
      <c r="E31" s="12" t="s">
        <v>18</v>
      </c>
      <c r="F31" s="12" t="s">
        <v>20</v>
      </c>
      <c r="G31" s="12" t="s">
        <v>19</v>
      </c>
      <c r="H31" s="12"/>
      <c r="I31" s="14" t="s">
        <v>16</v>
      </c>
      <c r="K31" s="32" t="s">
        <v>14</v>
      </c>
      <c r="L31" s="12" t="s">
        <v>15</v>
      </c>
      <c r="N31">
        <v>8</v>
      </c>
      <c r="O31" t="s">
        <v>162</v>
      </c>
    </row>
    <row r="32" spans="3:33">
      <c r="C32" s="2" t="s">
        <v>80</v>
      </c>
      <c r="D32" s="1">
        <v>100</v>
      </c>
      <c r="E32" s="1">
        <v>50</v>
      </c>
      <c r="F32" s="1">
        <v>0.5</v>
      </c>
      <c r="G32" s="1">
        <f>F32*1000</f>
        <v>500</v>
      </c>
      <c r="H32" s="1"/>
      <c r="I32" s="1">
        <f>($F$19*F32)/E32</f>
        <v>0.2</v>
      </c>
      <c r="K32" s="38"/>
      <c r="L32" s="13"/>
    </row>
    <row r="33" spans="3:32">
      <c r="C33" s="2" t="s">
        <v>81</v>
      </c>
      <c r="D33" s="1">
        <v>100</v>
      </c>
      <c r="E33" s="1">
        <v>5</v>
      </c>
      <c r="F33" s="1">
        <v>0.05</v>
      </c>
      <c r="G33" s="1">
        <f t="shared" ref="G33" si="2">F33*1000</f>
        <v>50</v>
      </c>
      <c r="H33" s="1"/>
      <c r="I33" s="1">
        <f>($F$19*F33)/E33</f>
        <v>0.2</v>
      </c>
      <c r="K33" s="38"/>
      <c r="L33" s="13"/>
      <c r="N33">
        <v>9</v>
      </c>
      <c r="O33" t="s">
        <v>133</v>
      </c>
    </row>
    <row r="34" spans="3:32" ht="15" customHeight="1">
      <c r="N34">
        <v>10</v>
      </c>
      <c r="O34" t="s">
        <v>134</v>
      </c>
    </row>
    <row r="35" spans="3:32" ht="15" customHeight="1">
      <c r="C35" s="54" t="s">
        <v>46</v>
      </c>
      <c r="D35" s="54" t="s">
        <v>47</v>
      </c>
      <c r="E35" s="54" t="s">
        <v>48</v>
      </c>
      <c r="F35" s="54" t="s">
        <v>49</v>
      </c>
      <c r="G35" s="54" t="s">
        <v>50</v>
      </c>
      <c r="H35" s="54" t="s">
        <v>51</v>
      </c>
      <c r="I35" s="108" t="s">
        <v>52</v>
      </c>
      <c r="J35" s="108"/>
      <c r="K35" s="108"/>
      <c r="L35" s="108"/>
    </row>
    <row r="36" spans="3:32" ht="35" customHeight="1">
      <c r="C36" s="55" t="s">
        <v>53</v>
      </c>
      <c r="D36" s="56" t="s">
        <v>54</v>
      </c>
      <c r="E36" s="57" t="s">
        <v>55</v>
      </c>
      <c r="F36" s="57" t="s">
        <v>55</v>
      </c>
      <c r="G36" s="58" t="s">
        <v>73</v>
      </c>
      <c r="H36" s="59">
        <v>200</v>
      </c>
      <c r="I36" s="107"/>
      <c r="J36" s="107"/>
      <c r="K36" s="107"/>
      <c r="L36" s="107"/>
    </row>
    <row r="37" spans="3:32" ht="33" customHeight="1" thickBot="1">
      <c r="C37" s="55" t="s">
        <v>53</v>
      </c>
      <c r="D37" s="60" t="s">
        <v>56</v>
      </c>
      <c r="E37" s="74" t="s">
        <v>66</v>
      </c>
      <c r="F37" s="74" t="s">
        <v>67</v>
      </c>
      <c r="G37" s="58" t="s">
        <v>74</v>
      </c>
      <c r="H37" s="55">
        <v>200</v>
      </c>
      <c r="I37" s="107"/>
      <c r="J37" s="107"/>
      <c r="K37" s="107"/>
      <c r="L37" s="107"/>
      <c r="S37" s="20"/>
      <c r="T37" s="37"/>
      <c r="U37" s="63">
        <v>1</v>
      </c>
      <c r="V37" s="63">
        <v>2</v>
      </c>
      <c r="W37" s="63">
        <v>3</v>
      </c>
      <c r="X37" s="63">
        <v>4</v>
      </c>
      <c r="Y37" s="63">
        <v>5</v>
      </c>
      <c r="Z37" s="63">
        <v>6</v>
      </c>
      <c r="AA37" s="63">
        <v>7</v>
      </c>
      <c r="AB37" s="37">
        <v>8</v>
      </c>
      <c r="AC37" s="37">
        <v>9</v>
      </c>
      <c r="AD37" s="37">
        <v>10</v>
      </c>
      <c r="AE37" s="37">
        <v>11</v>
      </c>
      <c r="AF37" s="37">
        <v>12</v>
      </c>
    </row>
    <row r="38" spans="3:32" ht="17" thickBot="1">
      <c r="C38" t="s">
        <v>68</v>
      </c>
      <c r="Q38" s="85" t="s">
        <v>111</v>
      </c>
      <c r="R38" s="85" t="s">
        <v>109</v>
      </c>
      <c r="S38" s="20"/>
      <c r="T38" s="65" t="s">
        <v>30</v>
      </c>
      <c r="U38" s="79"/>
      <c r="V38" s="78"/>
      <c r="W38" s="91" t="s">
        <v>99</v>
      </c>
      <c r="X38" s="92"/>
      <c r="Y38" s="93" t="s">
        <v>96</v>
      </c>
      <c r="Z38" s="94"/>
      <c r="AA38" s="95" t="s">
        <v>97</v>
      </c>
      <c r="AB38" s="96"/>
      <c r="AC38" s="97" t="s">
        <v>98</v>
      </c>
      <c r="AD38" s="98"/>
      <c r="AE38" s="77"/>
      <c r="AF38" s="77"/>
    </row>
    <row r="39" spans="3:32" ht="17" thickBot="1">
      <c r="C39" t="s">
        <v>57</v>
      </c>
      <c r="Q39" s="89" t="s">
        <v>110</v>
      </c>
      <c r="R39" s="19">
        <v>399</v>
      </c>
      <c r="S39" s="20"/>
      <c r="T39" s="36" t="s">
        <v>31</v>
      </c>
      <c r="U39" s="79"/>
      <c r="V39" s="78"/>
      <c r="W39" s="91" t="s">
        <v>100</v>
      </c>
      <c r="X39" s="92"/>
      <c r="Y39" s="93" t="s">
        <v>101</v>
      </c>
      <c r="Z39" s="94"/>
      <c r="AA39" s="95" t="s">
        <v>102</v>
      </c>
      <c r="AB39" s="96"/>
      <c r="AC39" s="97" t="s">
        <v>103</v>
      </c>
      <c r="AD39" s="98"/>
      <c r="AE39" s="77"/>
      <c r="AF39" s="77"/>
    </row>
    <row r="40" spans="3:32" ht="17" thickBot="1">
      <c r="Q40" s="89" t="s">
        <v>104</v>
      </c>
      <c r="R40" s="19">
        <v>478</v>
      </c>
      <c r="S40" s="20"/>
      <c r="T40" s="36" t="s">
        <v>32</v>
      </c>
      <c r="U40" s="79"/>
      <c r="V40" s="78"/>
      <c r="W40" s="91" t="s">
        <v>112</v>
      </c>
      <c r="X40" s="92"/>
      <c r="Y40" s="93" t="s">
        <v>113</v>
      </c>
      <c r="Z40" s="94"/>
      <c r="AA40" s="95" t="s">
        <v>114</v>
      </c>
      <c r="AB40" s="96"/>
      <c r="AC40" s="97" t="s">
        <v>115</v>
      </c>
      <c r="AD40" s="98"/>
      <c r="AE40" s="77"/>
      <c r="AF40" s="77"/>
    </row>
    <row r="41" spans="3:32" ht="17" thickBot="1">
      <c r="C41" s="20" t="s">
        <v>91</v>
      </c>
      <c r="Q41" s="89" t="s">
        <v>105</v>
      </c>
      <c r="R41" s="19">
        <v>479</v>
      </c>
      <c r="S41" s="20"/>
      <c r="T41" s="36" t="s">
        <v>33</v>
      </c>
      <c r="U41" s="79"/>
      <c r="V41" s="78"/>
      <c r="W41" s="91" t="s">
        <v>116</v>
      </c>
      <c r="X41" s="92"/>
      <c r="Y41" s="93" t="s">
        <v>117</v>
      </c>
      <c r="Z41" s="94"/>
      <c r="AA41" s="95" t="s">
        <v>118</v>
      </c>
      <c r="AB41" s="96"/>
      <c r="AC41" s="97" t="s">
        <v>119</v>
      </c>
      <c r="AD41" s="98"/>
      <c r="AE41" s="77"/>
      <c r="AF41" s="77"/>
    </row>
    <row r="42" spans="3:32" ht="17" thickBot="1">
      <c r="C42" s="20" t="s">
        <v>90</v>
      </c>
      <c r="Q42" s="89" t="s">
        <v>106</v>
      </c>
      <c r="R42" s="19">
        <v>480</v>
      </c>
      <c r="S42" s="20"/>
      <c r="T42" s="36" t="s">
        <v>34</v>
      </c>
      <c r="U42" s="79"/>
      <c r="V42" s="78"/>
      <c r="W42" s="91" t="s">
        <v>120</v>
      </c>
      <c r="X42" s="92"/>
      <c r="Y42" s="93" t="s">
        <v>121</v>
      </c>
      <c r="Z42" s="94"/>
      <c r="AA42" s="95" t="s">
        <v>122</v>
      </c>
      <c r="AB42" s="96"/>
      <c r="AC42" s="97" t="s">
        <v>123</v>
      </c>
      <c r="AD42" s="98"/>
      <c r="AE42" s="78"/>
      <c r="AF42" s="77"/>
    </row>
    <row r="43" spans="3:32" ht="17" thickBot="1">
      <c r="Q43" s="89" t="s">
        <v>107</v>
      </c>
      <c r="R43" s="19">
        <v>481</v>
      </c>
      <c r="S43" s="20"/>
      <c r="T43" s="36" t="s">
        <v>35</v>
      </c>
      <c r="U43" s="79"/>
      <c r="V43" s="78"/>
      <c r="W43" s="91" t="s">
        <v>124</v>
      </c>
      <c r="X43" s="92"/>
      <c r="Y43" s="93" t="s">
        <v>125</v>
      </c>
      <c r="Z43" s="94"/>
      <c r="AA43" s="95" t="s">
        <v>126</v>
      </c>
      <c r="AB43" s="96"/>
      <c r="AC43" s="97" t="s">
        <v>127</v>
      </c>
      <c r="AD43" s="98"/>
      <c r="AE43" s="77"/>
      <c r="AF43" s="77"/>
    </row>
    <row r="44" spans="3:32" ht="17" thickBot="1">
      <c r="Q44" s="89" t="s">
        <v>108</v>
      </c>
      <c r="R44" s="19">
        <v>482</v>
      </c>
      <c r="S44" s="20"/>
      <c r="T44" s="36" t="s">
        <v>36</v>
      </c>
      <c r="U44" s="79"/>
      <c r="V44" s="78"/>
      <c r="W44" s="91" t="s">
        <v>128</v>
      </c>
      <c r="X44" s="92"/>
      <c r="Y44" s="93" t="s">
        <v>129</v>
      </c>
      <c r="Z44" s="94"/>
      <c r="AA44" s="95" t="s">
        <v>130</v>
      </c>
      <c r="AB44" s="96"/>
      <c r="AC44" s="97" t="s">
        <v>131</v>
      </c>
      <c r="AD44" s="98"/>
      <c r="AE44" s="77"/>
      <c r="AF44" s="77"/>
    </row>
    <row r="45" spans="3:32" ht="17" thickBot="1">
      <c r="Q45" s="62"/>
      <c r="S45" s="20"/>
      <c r="T45" s="36" t="s">
        <v>37</v>
      </c>
      <c r="U45" s="79"/>
      <c r="V45" s="78"/>
      <c r="W45" s="78"/>
      <c r="X45" s="78"/>
      <c r="Y45" s="78"/>
      <c r="Z45" s="78"/>
      <c r="AA45" s="78"/>
      <c r="AB45" s="78"/>
      <c r="AC45" s="78"/>
      <c r="AD45" s="77"/>
      <c r="AE45" s="77"/>
      <c r="AF45" s="77"/>
    </row>
    <row r="47" spans="3:32" ht="16" customHeight="1"/>
    <row r="48" spans="3:32">
      <c r="C48" s="64" t="s">
        <v>59</v>
      </c>
    </row>
    <row r="49" spans="3:3">
      <c r="C49" s="64" t="s">
        <v>63</v>
      </c>
    </row>
    <row r="54" spans="3:3" ht="16" customHeight="1"/>
    <row r="60" spans="3:3" ht="37" customHeight="1"/>
    <row r="66" spans="2:2">
      <c r="B66" s="15"/>
    </row>
    <row r="67" spans="2:2">
      <c r="B67" s="15"/>
    </row>
  </sheetData>
  <mergeCells count="67">
    <mergeCell ref="C6:D6"/>
    <mergeCell ref="E6:E7"/>
    <mergeCell ref="M6:M7"/>
    <mergeCell ref="C7:D7"/>
    <mergeCell ref="F7:G7"/>
    <mergeCell ref="W8:X8"/>
    <mergeCell ref="Y8:Z8"/>
    <mergeCell ref="AA8:AB8"/>
    <mergeCell ref="AC8:AD8"/>
    <mergeCell ref="H9:I9"/>
    <mergeCell ref="W9:X9"/>
    <mergeCell ref="Y9:Z9"/>
    <mergeCell ref="AA9:AB9"/>
    <mergeCell ref="AC9:AD9"/>
    <mergeCell ref="W11:X11"/>
    <mergeCell ref="Y11:Z11"/>
    <mergeCell ref="AA11:AB11"/>
    <mergeCell ref="AC11:AD11"/>
    <mergeCell ref="W12:X12"/>
    <mergeCell ref="Y12:Z12"/>
    <mergeCell ref="AA12:AB12"/>
    <mergeCell ref="AC12:AD12"/>
    <mergeCell ref="AA13:AB13"/>
    <mergeCell ref="AC13:AD13"/>
    <mergeCell ref="N14:O14"/>
    <mergeCell ref="W14:X14"/>
    <mergeCell ref="Y14:Z14"/>
    <mergeCell ref="AA14:AB14"/>
    <mergeCell ref="AC14:AD14"/>
    <mergeCell ref="I35:L35"/>
    <mergeCell ref="I36:L36"/>
    <mergeCell ref="N13:O13"/>
    <mergeCell ref="W13:X13"/>
    <mergeCell ref="Y13:Z13"/>
    <mergeCell ref="W39:X39"/>
    <mergeCell ref="Y39:Z39"/>
    <mergeCell ref="AA39:AB39"/>
    <mergeCell ref="AC39:AD39"/>
    <mergeCell ref="M15:O16"/>
    <mergeCell ref="M17:O18"/>
    <mergeCell ref="M19:O19"/>
    <mergeCell ref="AB19:AG19"/>
    <mergeCell ref="I37:L37"/>
    <mergeCell ref="W38:X38"/>
    <mergeCell ref="Y38:Z38"/>
    <mergeCell ref="AA38:AB38"/>
    <mergeCell ref="AC38:AD38"/>
    <mergeCell ref="W40:X40"/>
    <mergeCell ref="Y40:Z40"/>
    <mergeCell ref="AA40:AB40"/>
    <mergeCell ref="AC40:AD40"/>
    <mergeCell ref="W41:X41"/>
    <mergeCell ref="Y41:Z41"/>
    <mergeCell ref="AA41:AB41"/>
    <mergeCell ref="AC41:AD41"/>
    <mergeCell ref="W44:X44"/>
    <mergeCell ref="Y44:Z44"/>
    <mergeCell ref="AA44:AB44"/>
    <mergeCell ref="AC44:AD44"/>
    <mergeCell ref="W42:X42"/>
    <mergeCell ref="Y42:Z42"/>
    <mergeCell ref="AA42:AB42"/>
    <mergeCell ref="AC42:AD42"/>
    <mergeCell ref="W43:X43"/>
    <mergeCell ref="Y43:Z43"/>
    <mergeCell ref="AA43:AB43"/>
    <mergeCell ref="AC43:AD43"/>
  </mergeCells>
  <pageMargins left="0.7" right="0.7" top="0.75" bottom="0.75" header="0.3" footer="0.3"/>
  <pageSetup scale="43" orientation="portrait" copies="2" r:id="rId1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SensiFAST 2X LC</vt:lpstr>
      <vt:lpstr>SensiFAST 2xLC Salt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Malofsky</dc:creator>
  <cp:lastModifiedBy>Malofsky, Nicole A</cp:lastModifiedBy>
  <cp:lastPrinted>2024-08-13T15:02:19Z</cp:lastPrinted>
  <dcterms:created xsi:type="dcterms:W3CDTF">2021-07-14T19:35:26Z</dcterms:created>
  <dcterms:modified xsi:type="dcterms:W3CDTF">2025-11-18T15:36:17Z</dcterms:modified>
</cp:coreProperties>
</file>