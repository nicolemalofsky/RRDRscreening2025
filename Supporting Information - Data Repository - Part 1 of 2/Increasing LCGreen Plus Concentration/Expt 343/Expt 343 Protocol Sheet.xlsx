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codeName="ThisWorkbook" defaultThemeVersion="166925"/>
  <mc:AlternateContent xmlns:mc="http://schemas.openxmlformats.org/markup-compatibility/2006">
    <mc:Choice Requires="x15">
      <x15ac:absPath xmlns:x15ac="http://schemas.microsoft.com/office/spreadsheetml/2010/11/ac" url="/Users/malofsna/Haselton-Wright Dropbox/Nicole Malofsky/4. Lab Publications/1. In Preparation/25 Malofsky RRDR/Data Repository/Supporting Information - Data Repository/Increasing LCGreen Plus Concentration/Expt 343/"/>
    </mc:Choice>
  </mc:AlternateContent>
  <xr:revisionPtr revIDLastSave="0" documentId="13_ncr:1_{369E6B63-D5F5-F644-B0BD-A48B133787EE}" xr6:coauthVersionLast="47" xr6:coauthVersionMax="47" xr10:uidLastSave="{00000000-0000-0000-0000-000000000000}"/>
  <bookViews>
    <workbookView xWindow="60" yWindow="760" windowWidth="42740" windowHeight="19440" activeTab="3" xr2:uid="{00000000-000D-0000-FFFF-FFFF00000000}"/>
  </bookViews>
  <sheets>
    <sheet name="2X LCGR" sheetId="63" r:id="rId1"/>
    <sheet name="1.5X LCGR" sheetId="64" r:id="rId2"/>
    <sheet name="1X LCGR" sheetId="65" r:id="rId3"/>
    <sheet name="PP and dT21 Prep" sheetId="2" r:id="rId4"/>
  </sheets>
  <definedNames>
    <definedName name="_xlnm.Print_Area" localSheetId="1">'1.5X LCGR'!$S$3:$AM$23</definedName>
    <definedName name="_xlnm.Print_Area" localSheetId="2">'1X LCGR'!$S$3:$AM$23</definedName>
    <definedName name="_xlnm.Print_Area" localSheetId="0">'2X LCGR'!$S$3:$AM$23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65" l="1"/>
  <c r="O36" i="65"/>
  <c r="M36" i="65"/>
  <c r="O35" i="65"/>
  <c r="M35" i="65"/>
  <c r="L11" i="65"/>
  <c r="L12" i="65"/>
  <c r="L13" i="65"/>
  <c r="L16" i="65"/>
  <c r="L17" i="65"/>
  <c r="L10" i="65"/>
  <c r="M21" i="65"/>
  <c r="M10" i="65"/>
  <c r="M11" i="65"/>
  <c r="M12" i="65"/>
  <c r="M13" i="65"/>
  <c r="M14" i="65"/>
  <c r="M16" i="65"/>
  <c r="M20" i="65"/>
  <c r="L20" i="65"/>
  <c r="M17" i="65"/>
  <c r="J17" i="65"/>
  <c r="O14" i="65"/>
  <c r="O13" i="65"/>
  <c r="O12" i="65"/>
  <c r="K12" i="65"/>
  <c r="O11" i="65"/>
  <c r="K11" i="65"/>
  <c r="O10" i="65"/>
  <c r="M21" i="64"/>
  <c r="L14" i="64"/>
  <c r="O36" i="64"/>
  <c r="M36" i="64"/>
  <c r="O35" i="64"/>
  <c r="M35" i="64"/>
  <c r="L11" i="64"/>
  <c r="L12" i="64"/>
  <c r="L13" i="64"/>
  <c r="L16" i="64"/>
  <c r="L17" i="64"/>
  <c r="L10" i="64"/>
  <c r="M10" i="64"/>
  <c r="M11" i="64"/>
  <c r="M12" i="64"/>
  <c r="M13" i="64"/>
  <c r="M14" i="64"/>
  <c r="M16" i="64"/>
  <c r="M20" i="64"/>
  <c r="L20" i="64"/>
  <c r="M17" i="64"/>
  <c r="J17" i="64"/>
  <c r="O14" i="64"/>
  <c r="O13" i="64"/>
  <c r="O12" i="64"/>
  <c r="K12" i="64"/>
  <c r="O11" i="64"/>
  <c r="K11" i="64"/>
  <c r="O10" i="64"/>
  <c r="L11" i="63"/>
  <c r="L12" i="63"/>
  <c r="L13" i="63"/>
  <c r="L14" i="63"/>
  <c r="L16" i="63"/>
  <c r="L17" i="63"/>
  <c r="L10" i="63"/>
  <c r="M21" i="63"/>
  <c r="O36" i="63"/>
  <c r="M36" i="63"/>
  <c r="O35" i="63"/>
  <c r="M35" i="63"/>
  <c r="M10" i="63"/>
  <c r="M11" i="63"/>
  <c r="M12" i="63"/>
  <c r="M13" i="63"/>
  <c r="M14" i="63"/>
  <c r="M16" i="63"/>
  <c r="M20" i="63"/>
  <c r="L20" i="63"/>
  <c r="M17" i="63"/>
  <c r="J17" i="63"/>
  <c r="O14" i="63"/>
  <c r="O13" i="63"/>
  <c r="O12" i="63"/>
  <c r="K12" i="63"/>
  <c r="O11" i="63"/>
  <c r="K11" i="63"/>
  <c r="O10" i="63"/>
</calcChain>
</file>

<file path=xl/sharedStrings.xml><?xml version="1.0" encoding="utf-8"?>
<sst xmlns="http://schemas.openxmlformats.org/spreadsheetml/2006/main" count="440" uniqueCount="173">
  <si>
    <t>Date</t>
  </si>
  <si>
    <t>Component</t>
  </si>
  <si>
    <t># of Samples</t>
  </si>
  <si>
    <t># of Rxns</t>
  </si>
  <si>
    <t>Nuclease-free water</t>
  </si>
  <si>
    <t>Add sep</t>
  </si>
  <si>
    <t>vol/tube</t>
  </si>
  <si>
    <t>sum</t>
  </si>
  <si>
    <t>total volume</t>
  </si>
  <si>
    <t>Temp (ºC)</t>
  </si>
  <si>
    <t>Time (mm:ss)</t>
  </si>
  <si>
    <t># of cycles</t>
  </si>
  <si>
    <t>Single Rxn Vol (uL)</t>
  </si>
  <si>
    <t>Full Rxn Vol (uL)</t>
  </si>
  <si>
    <t>Sequence</t>
  </si>
  <si>
    <t>Source</t>
  </si>
  <si>
    <t>Volume (uL) added per rxn</t>
  </si>
  <si>
    <t>[Stock] (uM)</t>
  </si>
  <si>
    <t>[Working] (uM)</t>
  </si>
  <si>
    <t>[Rxn] (nM)</t>
  </si>
  <si>
    <t>[Rxn] (uM)</t>
  </si>
  <si>
    <t>[Working]</t>
  </si>
  <si>
    <t>p 64 in nb1</t>
  </si>
  <si>
    <t>How to prep 100 uM stock probes</t>
  </si>
  <si>
    <t>Make TE 2L aliquot</t>
  </si>
  <si>
    <t>Spin down powders at least 5 sec to clear lid and walls</t>
  </si>
  <si>
    <t>Open tube in clean hood</t>
  </si>
  <si>
    <t>Add proper amt TE --&gt; ex: if label says 2.5 nmol, add 25 uL TE</t>
  </si>
  <si>
    <t>Vortex</t>
  </si>
  <si>
    <t>Spin down</t>
  </si>
  <si>
    <t>Place tube in dark drawer for 30 min</t>
  </si>
  <si>
    <t>Place in cryobox, label, freeze</t>
  </si>
  <si>
    <t>How to prep 10 uM working probes</t>
  </si>
  <si>
    <t xml:space="preserve">Calculate C1V1=C2V2 --&gt; for 50uL wkg: (100uM)(V1)=(10uM)(50 uL) </t>
  </si>
  <si>
    <t>Take 5 uL of 100 uM stock into 45 uL H2O</t>
  </si>
  <si>
    <t>How to prep 100 uM stock primers</t>
  </si>
  <si>
    <t>How to prep 50 uM working primers</t>
  </si>
  <si>
    <t xml:space="preserve">Calculate C1V1=C2V2 --&gt; for 50uL wkg: (100uM)(V1)=(50uM)(50 uL) </t>
  </si>
  <si>
    <t>Take 25 uL of 100 uM stock into 25 uL H2O</t>
  </si>
  <si>
    <t>[Final Rxn uM]</t>
  </si>
  <si>
    <t>Check off Component</t>
  </si>
  <si>
    <t>1X</t>
  </si>
  <si>
    <t>10 uM</t>
  </si>
  <si>
    <t>2X</t>
  </si>
  <si>
    <t>NTC</t>
  </si>
  <si>
    <t>15 min UV light in clean hood</t>
  </si>
  <si>
    <t>Melt / Denaturation (Cycling A)</t>
  </si>
  <si>
    <t>Anneal / Extension (Cycling B) *acquire*</t>
  </si>
  <si>
    <t>Clean hood = left, target bench = left</t>
  </si>
  <si>
    <t>Target</t>
  </si>
  <si>
    <t>p 5 in nb2</t>
  </si>
  <si>
    <t>80uL H2O + 10uL parent + 10uL dT-21 (10uM)</t>
  </si>
  <si>
    <t>How to prep target with dT-21 (dT_21 DJN)</t>
  </si>
  <si>
    <t>Syber Green: (1uL of 10,000X stock) + (199uL H2O) = (200uL of 50X)</t>
  </si>
  <si>
    <t>Add proper amt TE --&gt; ex: if label says 22.1 nmol, add 221 uL TE</t>
  </si>
  <si>
    <t>Make TE 2mL aliquot</t>
  </si>
  <si>
    <t>How to prep 10 uM working primers</t>
  </si>
  <si>
    <t>A</t>
  </si>
  <si>
    <t>B</t>
  </si>
  <si>
    <t>C</t>
  </si>
  <si>
    <t>D</t>
  </si>
  <si>
    <t>E</t>
  </si>
  <si>
    <t>F</t>
  </si>
  <si>
    <t>G</t>
  </si>
  <si>
    <t>H</t>
  </si>
  <si>
    <t>Polymerase Activation</t>
  </si>
  <si>
    <t>Stored in L-DNA Biomers Box with white label</t>
  </si>
  <si>
    <t>Stock at 100uM in TE</t>
  </si>
  <si>
    <t>katG L-DNA Mix: (1.25uL of pink TXR fluor stock) + (3.125 uL of purple quencher stock) + (95.625uL H2O) = (100uL of katG L-DNA mix for 1uL per 20uL rxn)</t>
  </si>
  <si>
    <t xml:space="preserve">Fluor: 23FEB_katGf56_TXR - pink soln </t>
  </si>
  <si>
    <t>Quencher: 23FEB_katG_56_Rcm - purple soln</t>
  </si>
  <si>
    <t>Prep 10 uM working primers</t>
  </si>
  <si>
    <t xml:space="preserve">Calculate C1V1=C2V2 --&gt; for 100uL wkg: (100uM)(V1)=(10uM)(100 uL) </t>
  </si>
  <si>
    <t>Take 10 uL of 100 uM stock into 90 uL H2O</t>
  </si>
  <si>
    <t>Kit = SensiFAST Probe No-ROX Kit (BIO-86005)</t>
  </si>
  <si>
    <t>65C to 95C</t>
  </si>
  <si>
    <t>How to prep 1:2.5 katG L-DNA Mix</t>
  </si>
  <si>
    <t>95C to 50C</t>
  </si>
  <si>
    <t>Melt Analysis *aquire*</t>
  </si>
  <si>
    <t>LC Green Plus</t>
  </si>
  <si>
    <t>SensiFAST Probe No-ROX Kit</t>
  </si>
  <si>
    <t>10X</t>
  </si>
  <si>
    <t>DNA</t>
  </si>
  <si>
    <t>Classification</t>
  </si>
  <si>
    <t>AA Change</t>
  </si>
  <si>
    <t>Base Change</t>
  </si>
  <si>
    <t>ID</t>
  </si>
  <si>
    <t>Oligo Length</t>
  </si>
  <si>
    <t>Oligo Sequence</t>
  </si>
  <si>
    <t>N/A</t>
  </si>
  <si>
    <t>Note w/r to mutants: SNP underlined in red</t>
  </si>
  <si>
    <t>Primer Prep - 100uM stock and 10uM working</t>
  </si>
  <si>
    <t>Spin down stock</t>
  </si>
  <si>
    <t>Working: Add 10 uL of 100 uM stock into 90 uL H2O</t>
  </si>
  <si>
    <t>Here: 223uL TE to MEP176, 241uL TE to MEP177</t>
  </si>
  <si>
    <t>Stock: Add proper amt TE --&gt; ex: label says 20.5 nmol, add 205 uL TE</t>
  </si>
  <si>
    <t>PCR + post-melt: 0.025C/s on continuous melt per literature support</t>
  </si>
  <si>
    <t>SensiFAST Probe No-ROX Kit (BIO-86005)</t>
  </si>
  <si>
    <t>Location: -20C, rpob - I491 F pink box from 6/3/24</t>
  </si>
  <si>
    <t>10^6 c/uL</t>
  </si>
  <si>
    <t>rpoB F Primer (MEP409)</t>
  </si>
  <si>
    <t>rpoB R Primer (MEP410)</t>
  </si>
  <si>
    <t>Probe 1</t>
  </si>
  <si>
    <t>Probe 2</t>
  </si>
  <si>
    <t>RRDR F Primer (MEP409)</t>
  </si>
  <si>
    <t>RRDR R Primer (MEP410)</t>
  </si>
  <si>
    <t>LOT = # SFPN-323412A</t>
  </si>
  <si>
    <t>Anneal / Hybridiization</t>
  </si>
  <si>
    <t>D435V</t>
  </si>
  <si>
    <t>H445D</t>
  </si>
  <si>
    <t>S450L</t>
  </si>
  <si>
    <t>H445D+S450L</t>
  </si>
  <si>
    <t>D435V+H445D+S450L</t>
  </si>
  <si>
    <t>MEP</t>
  </si>
  <si>
    <t>Wild-type RRDR</t>
  </si>
  <si>
    <t>Target Type</t>
  </si>
  <si>
    <t>50 uM</t>
  </si>
  <si>
    <t>5 uM</t>
  </si>
  <si>
    <t>Mutated Seg</t>
  </si>
  <si>
    <t>S1</t>
  </si>
  <si>
    <t>S2</t>
  </si>
  <si>
    <t>S1+2</t>
  </si>
  <si>
    <t>Pipet 18uL MM per well</t>
  </si>
  <si>
    <t>Add 2uL target per target well (10^6c/uL)</t>
  </si>
  <si>
    <t>10/23/24 prep 50uM Blocked C3 Spacer WT RRDR Melt Probe MEP551 (Segment 1, stock 10/3/24 in clean room) in -80 box RRDR Melt Probe Segments</t>
  </si>
  <si>
    <t>SYBR Green I nucleic acid gel stain (Sigma S9430_0.5ML) LOT #SLBD8080V</t>
  </si>
  <si>
    <t>10/24/24: prep 100X SYBR in 1X TE via 10,000X DMSO stock</t>
  </si>
  <si>
    <t>PCR instrument = QuantStudio5</t>
  </si>
  <si>
    <t>10/25/24 prep RRDR WT (MEP399) and H445D+S450L (MEP481) target as 10^6 c/uL in -80 box RRDR Targets July 2024</t>
  </si>
  <si>
    <t>11/20/24 prep 10uM 3' TXR Seg1 WT RRDR Melt Probe MEP596 (stock 11/20/24 in clean room) in 20C target fridge</t>
  </si>
  <si>
    <t>12/9/24 prep 10uM 3' TXR Seg2 WT RRDR Melt Probe MEP599 (stock 12/9/24 in clean room) in 20C target fridge</t>
  </si>
  <si>
    <t>12/20/24 prep 10uM 3' TXR Conserved Seg WT RRDR Melt Probe MEP600 (stock 12/20/24 in clean room) in 20C target fridge</t>
  </si>
  <si>
    <t xml:space="preserve">Add Seg1 (@ 10uM) to MM tube </t>
  </si>
  <si>
    <t xml:space="preserve">Add Seg2 (@ 10uM) to MM tube </t>
  </si>
  <si>
    <t>Blocked Melt Probe Seg1 (MEP550) - 0.25X</t>
  </si>
  <si>
    <t>LC Green Plus (BioFire Cat # BCHM-ASY-0005, LOT 302124), 10X in 10mM Tris-HCl, o 1/13/24, stored in ClRm FridgeB</t>
  </si>
  <si>
    <t>NA</t>
  </si>
  <si>
    <t>11/18 prep I491 WT LDNA TXR 5' FWD and unlabeled REV as 100uM in 1X TE, single strand as 4E12c/uL in water</t>
  </si>
  <si>
    <t xml:space="preserve">11/18/24 prep I491 WT LDNA TXR 5' FWD and unlabeled REV as 1-1 ratio with 2E11 c/uL per strand in water </t>
  </si>
  <si>
    <t>Master Mix</t>
  </si>
  <si>
    <t>Target = MEP399 (RRDR WT) or MEP479 (H445D)</t>
  </si>
  <si>
    <t>10/23/24 prep 50uM FWD pri MEP409, 02/05/2025 SD prep 5uM REV pri MEP410 - both from 6/19/24 stock 100uM</t>
  </si>
  <si>
    <t>02/03/25 Swesh prep 50uM Blocked C3 Spacer WT RRDR Melt Probe MEP492 (Segment 2, stock 7/25/24) in -80 box RRDR Melt Probe Segments</t>
  </si>
  <si>
    <t>2/10/25 and prep 25X SYBR in 1X TE via 100X in TE via 10,000X stock</t>
  </si>
  <si>
    <t>ALL</t>
  </si>
  <si>
    <t>60C to 95C</t>
  </si>
  <si>
    <t>2/11/25 prep 10uM blocked probes MEP551 and 02/03/25 aliquot prep MEP492</t>
  </si>
  <si>
    <t>PCR: 1.6C/s to 95C 2m, 1.6C/s to 95C 10s, 1.6C/s to 61C 50s acq (40X PCR)</t>
  </si>
  <si>
    <t xml:space="preserve">02/26/25 SD MgCl2 prep (500 mM stock) and 100 mM Dilution (clean room right hood) </t>
  </si>
  <si>
    <t>MEP399 (WT)</t>
  </si>
  <si>
    <t>TARGET:</t>
  </si>
  <si>
    <t>Expt 343 - SensiFAST Probe No Rox</t>
  </si>
  <si>
    <t>o Feb tube</t>
  </si>
  <si>
    <t>7/23+24/24 prep 10^6c/uL target for H445D (MEP479), D435V (MEP478), S450L (MEP480), D435V+H445D+S450L (MEP482) in -80C box RRDR Targets July 2024</t>
  </si>
  <si>
    <t>3/10/25 prep MEP612 RRDR Seg2 Blocked Probe as 100uM in 1X TE clean room freezer, 10uM in H2O target fridge</t>
  </si>
  <si>
    <t>9/18/24 prep MEP550 RRDR Seg1 Blocked Probe as 10uM in H2O target fridge</t>
  </si>
  <si>
    <t>Blocked Melt Probe Seg2 (MEP612) - 1X</t>
  </si>
  <si>
    <t>2X LCGR = original</t>
  </si>
  <si>
    <t>Build off E342 with incr hold time on cycling but keep 40 cycles</t>
  </si>
  <si>
    <r>
      <t>Melt: 1.6C/s  to 95C 15s, 0.1C/s  to 50</t>
    </r>
    <r>
      <rPr>
        <sz val="12"/>
        <rFont val="Calibri (Body)"/>
      </rPr>
      <t xml:space="preserve">C </t>
    </r>
    <r>
      <rPr>
        <sz val="12"/>
        <rFont val="Calibri"/>
        <family val="2"/>
        <scheme val="minor"/>
      </rPr>
      <t>15s, 1.6C/s to 60</t>
    </r>
    <r>
      <rPr>
        <sz val="12"/>
        <rFont val="Calibri (Body)"/>
      </rPr>
      <t>C</t>
    </r>
    <r>
      <rPr>
        <sz val="12"/>
        <rFont val="Calibri"/>
        <family val="2"/>
        <scheme val="minor"/>
      </rPr>
      <t xml:space="preserve"> 1m, 0.025C/s acq continuous to 95C 15s</t>
    </r>
  </si>
  <si>
    <r>
      <t xml:space="preserve">Custom melt // targets: no passive reference, optical filters </t>
    </r>
    <r>
      <rPr>
        <sz val="12"/>
        <color rgb="FFFF0000"/>
        <rFont val="Calibri (Body)"/>
      </rPr>
      <t>x1 (excitation 470+/-15nm), m1 (emission 520+/-15nm), m4 (emission 623+/-14nm)</t>
    </r>
    <r>
      <rPr>
        <sz val="12"/>
        <color theme="1"/>
        <rFont val="Calibri"/>
        <family val="2"/>
        <scheme val="minor"/>
      </rPr>
      <t xml:space="preserve">, </t>
    </r>
    <r>
      <rPr>
        <sz val="12"/>
        <rFont val="Calibri (Body)"/>
      </rPr>
      <t xml:space="preserve">reporters: </t>
    </r>
    <r>
      <rPr>
        <sz val="12"/>
        <color rgb="FF008F00"/>
        <rFont val="Calibri (Body)"/>
      </rPr>
      <t>LCGR+</t>
    </r>
    <r>
      <rPr>
        <sz val="12"/>
        <rFont val="Calibri (Body)"/>
      </rPr>
      <t>-none</t>
    </r>
  </si>
  <si>
    <t xml:space="preserve">MEP481 </t>
  </si>
  <si>
    <t>Goal: RRDR -  Per Swesh E58, moving back to segment 1 as MEP550 with 72C melt so 2C higher Tm than MEP551 to pull it out of the fluorescence background shoulder and it has higher GC% for better intercalation potential of duplex. And got new segment 2 as MEP612 that has 3 extra bases on 3' end to increase Tm and enable differentiable peaks between MEP550 and MEP612 on the double mutant MEP481. Here, try basic setup with the incr PCR hold steps, same conc of orig probes but try dif [LCGR (2X, 1.5X, 1X) across WT and MEP481</t>
  </si>
  <si>
    <t>2X LCGR+</t>
  </si>
  <si>
    <t>1.5X LCGR+</t>
  </si>
  <si>
    <t>1X LCGR+</t>
  </si>
  <si>
    <t>Seg 1 MEP550 in uL (via 10uM)</t>
  </si>
  <si>
    <t>Seg 2 MEP612 in uL (via 10uM)</t>
  </si>
  <si>
    <t>1.5X LCGR</t>
  </si>
  <si>
    <t>1.5X</t>
  </si>
  <si>
    <t>1X LCGR</t>
  </si>
  <si>
    <r>
      <t>Melt: 1.6C/s  to 95C 15s, 0.1C/s  to 50</t>
    </r>
    <r>
      <rPr>
        <sz val="12"/>
        <rFont val="Calibri (Body)"/>
      </rPr>
      <t xml:space="preserve">C </t>
    </r>
    <r>
      <rPr>
        <sz val="12"/>
        <rFont val="Calibri"/>
        <family val="2"/>
        <scheme val="minor"/>
      </rPr>
      <t>15s, 1.6C/s to 65</t>
    </r>
    <r>
      <rPr>
        <sz val="12"/>
        <rFont val="Calibri (Body)"/>
      </rPr>
      <t>C</t>
    </r>
    <r>
      <rPr>
        <sz val="12"/>
        <rFont val="Calibri"/>
        <family val="2"/>
        <scheme val="minor"/>
      </rPr>
      <t xml:space="preserve"> 1m, 0.025C/s acq continuous to 95C 15s</t>
    </r>
  </si>
  <si>
    <t>Build off E342 with incr hold time on cycling but keep 40 cycles and start at 65C!!!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</si>
</sst>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scheme val="minor"/>
    </font>
    <font>
      <b/>
      <sz val="12"/>
      <color theme="1"/>
      <name val="Calibri"/>
      <family val="2"/>
      <scheme val="minor"/>
    </font>
    <font>
      <sz val="10"/>
      <name val="Arial"/>
      <family val="2"/>
    </font>
    <font>
      <sz val="12"/>
      <color theme="0"/>
      <name val="Calibri"/>
      <family val="2"/>
      <scheme val="minor"/>
    </font>
    <font>
      <sz val="11"/>
      <color theme="1"/>
      <name val="Courier"/>
      <family val="1"/>
    </font>
    <font>
      <sz val="12"/>
      <color rgb="FF000000"/>
      <name val="Calibri"/>
      <family val="2"/>
      <scheme val="minor"/>
    </font>
    <font>
      <b/>
      <sz val="12"/>
      <color rgb="FF000000"/>
      <name val="Calibri"/>
      <family val="2"/>
      <scheme val="minor"/>
    </font>
    <font>
      <b/>
      <sz val="12"/>
      <color rgb="FFFF0000"/>
      <name val="Calibri"/>
      <family val="2"/>
      <scheme val="minor"/>
    </font>
    <font>
      <sz val="12"/>
      <name val="Calibri"/>
      <family val="2"/>
      <scheme val="minor"/>
    </font>
    <font>
      <sz val="12"/>
      <color rgb="FFFF0000"/>
      <name val="Calibri"/>
      <family val="2"/>
      <scheme val="minor"/>
    </font>
    <font>
      <sz val="11"/>
      <color theme="1"/>
      <name val="Arial"/>
      <family val="2"/>
    </font>
    <font>
      <sz val="11"/>
      <color rgb="FF000000"/>
      <name val="Arial"/>
      <family val="2"/>
    </font>
    <font>
      <sz val="12"/>
      <color rgb="FFFF0000"/>
      <name val="Calibri (Body)"/>
    </font>
    <font>
      <sz val="11"/>
      <name val="Courier"/>
      <family val="1"/>
    </font>
    <font>
      <b/>
      <sz val="12"/>
      <name val="Calibri"/>
      <family val="2"/>
      <scheme val="minor"/>
    </font>
    <font>
      <b/>
      <i/>
      <sz val="12"/>
      <color theme="1"/>
      <name val="Calibri"/>
      <family val="2"/>
      <scheme val="minor"/>
    </font>
    <font>
      <sz val="12"/>
      <color rgb="FF000000"/>
      <name val="Courier New"/>
      <family val="1"/>
    </font>
    <font>
      <b/>
      <sz val="12"/>
      <color theme="1"/>
      <name val="Courier New"/>
      <family val="1"/>
    </font>
    <font>
      <sz val="12"/>
      <name val="Courier New"/>
      <family val="1"/>
    </font>
    <font>
      <sz val="12"/>
      <color theme="1"/>
      <name val="Courier New"/>
      <family val="1"/>
    </font>
    <font>
      <sz val="11"/>
      <color rgb="FF000000"/>
      <name val="Courier New"/>
      <family val="1"/>
    </font>
    <font>
      <sz val="11"/>
      <color rgb="FF008F00"/>
      <name val="Arial"/>
      <family val="2"/>
    </font>
    <font>
      <sz val="11"/>
      <color rgb="FFFFFFFF"/>
      <name val="Arial"/>
      <family val="2"/>
    </font>
    <font>
      <sz val="12"/>
      <color theme="2"/>
      <name val="Calibri"/>
      <family val="2"/>
      <scheme val="minor"/>
    </font>
    <font>
      <sz val="12"/>
      <name val="Calibri (Body)"/>
    </font>
    <font>
      <sz val="12"/>
      <color rgb="FF008F00"/>
      <name val="Calibri (Body)"/>
    </font>
    <font>
      <b/>
      <sz val="11"/>
      <color theme="1"/>
      <name val="Calibri"/>
      <family val="2"/>
      <scheme val="minor"/>
    </font>
    <font>
      <b/>
      <sz val="16"/>
      <color rgb="FFFF0000"/>
      <name val="Calibri (Body)"/>
    </font>
    <font>
      <b/>
      <sz val="10"/>
      <color rgb="FF00B050"/>
      <name val="Calibri (Body)"/>
    </font>
    <font>
      <b/>
      <sz val="10"/>
      <color rgb="FFFF0000"/>
      <name val="Calibri"/>
      <family val="2"/>
      <scheme val="minor"/>
    </font>
    <font>
      <b/>
      <sz val="11"/>
      <color rgb="FF0432FF"/>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8F00"/>
        <bgColor indexed="64"/>
      </patternFill>
    </fill>
    <fill>
      <patternFill patternType="solid">
        <fgColor rgb="FF7030A0"/>
        <bgColor indexed="64"/>
      </patternFill>
    </fill>
    <fill>
      <patternFill patternType="solid">
        <fgColor rgb="FF0432FF"/>
        <bgColor indexed="64"/>
      </patternFill>
    </fill>
    <fill>
      <patternFill patternType="solid">
        <fgColor theme="5"/>
        <bgColor indexed="64"/>
      </patternFill>
    </fill>
    <fill>
      <patternFill patternType="solid">
        <fgColor theme="0"/>
        <bgColor indexed="64"/>
      </patternFill>
    </fill>
    <fill>
      <patternFill patternType="solid">
        <fgColor rgb="FFFF40FF"/>
        <bgColor indexed="64"/>
      </patternFill>
    </fill>
    <fill>
      <patternFill patternType="solid">
        <fgColor rgb="FFFF8AD8"/>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21B8"/>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4"/>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style="thin">
        <color theme="1"/>
      </left>
      <right/>
      <top style="thin">
        <color theme="1"/>
      </top>
      <bottom style="thin">
        <color theme="1"/>
      </bottom>
      <diagonal/>
    </border>
    <border>
      <left/>
      <right/>
      <top style="medium">
        <color indexed="64"/>
      </top>
      <bottom style="thin">
        <color indexed="64"/>
      </bottom>
      <diagonal/>
    </border>
    <border>
      <left style="thin">
        <color indexed="64"/>
      </left>
      <right/>
      <top/>
      <bottom style="thin">
        <color indexed="64"/>
      </bottom>
      <diagonal/>
    </border>
  </borders>
  <cellStyleXfs count="2">
    <xf numFmtId="0" fontId="0" fillId="0" borderId="0"/>
    <xf numFmtId="0" fontId="2" fillId="0" borderId="0"/>
  </cellStyleXfs>
  <cellXfs count="200">
    <xf numFmtId="0" fontId="0" fillId="0" borderId="0" xfId="0"/>
    <xf numFmtId="0" fontId="0" fillId="0" borderId="1" xfId="0" applyBorder="1"/>
    <xf numFmtId="0" fontId="0" fillId="0" borderId="5" xfId="0" applyBorder="1"/>
    <xf numFmtId="14" fontId="0" fillId="0" borderId="11" xfId="0" applyNumberFormat="1" applyBorder="1"/>
    <xf numFmtId="0" fontId="0" fillId="2" borderId="11" xfId="0" applyFill="1" applyBorder="1"/>
    <xf numFmtId="0" fontId="0" fillId="0" borderId="7" xfId="0" applyBorder="1"/>
    <xf numFmtId="0" fontId="0" fillId="0" borderId="8" xfId="0" applyBorder="1"/>
    <xf numFmtId="0" fontId="1" fillId="0" borderId="10" xfId="0" applyFont="1" applyBorder="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2" borderId="9" xfId="0" applyFill="1" applyBorder="1"/>
    <xf numFmtId="0" fontId="1" fillId="0" borderId="0" xfId="0" applyFont="1"/>
    <xf numFmtId="0" fontId="4" fillId="0" borderId="1" xfId="0" applyFont="1" applyBorder="1" applyAlignment="1">
      <alignment horizontal="left"/>
    </xf>
    <xf numFmtId="0" fontId="1" fillId="0" borderId="0" xfId="0" applyFont="1" applyAlignment="1">
      <alignment wrapText="1"/>
    </xf>
    <xf numFmtId="0" fontId="0" fillId="0" borderId="0" xfId="0" applyAlignment="1">
      <alignment horizontal="right"/>
    </xf>
    <xf numFmtId="0" fontId="0" fillId="0" borderId="18" xfId="0" applyBorder="1"/>
    <xf numFmtId="0" fontId="0" fillId="0" borderId="19" xfId="0" applyBorder="1"/>
    <xf numFmtId="0" fontId="0" fillId="0" borderId="20" xfId="0" applyBorder="1"/>
    <xf numFmtId="0" fontId="0" fillId="0" borderId="1" xfId="0" applyBorder="1" applyAlignment="1">
      <alignment horizontal="center" vertical="center"/>
    </xf>
    <xf numFmtId="0" fontId="5" fillId="0" borderId="0" xfId="0" applyFont="1"/>
    <xf numFmtId="0" fontId="5" fillId="0" borderId="13" xfId="0" applyFont="1" applyBorder="1"/>
    <xf numFmtId="0" fontId="5" fillId="0" borderId="12" xfId="0" applyFont="1" applyBorder="1"/>
    <xf numFmtId="0" fontId="5" fillId="0" borderId="15" xfId="0" applyFont="1" applyBorder="1"/>
    <xf numFmtId="0" fontId="5" fillId="0" borderId="16" xfId="0" applyFont="1" applyBorder="1"/>
    <xf numFmtId="0" fontId="5" fillId="0" borderId="17" xfId="0" applyFont="1" applyBorder="1"/>
    <xf numFmtId="0" fontId="6" fillId="0" borderId="14" xfId="0" applyFont="1" applyBorder="1"/>
    <xf numFmtId="0" fontId="6" fillId="0" borderId="15" xfId="0" applyFont="1" applyBorder="1"/>
    <xf numFmtId="0" fontId="0" fillId="0" borderId="1" xfId="0" applyBorder="1" applyAlignment="1">
      <alignment horizontal="right"/>
    </xf>
    <xf numFmtId="0" fontId="0" fillId="0" borderId="22" xfId="0" applyBorder="1"/>
    <xf numFmtId="0" fontId="1" fillId="0" borderId="27" xfId="0" applyFont="1" applyBorder="1" applyAlignment="1">
      <alignment horizontal="center" vertical="center" wrapText="1"/>
    </xf>
    <xf numFmtId="0" fontId="0" fillId="3" borderId="22" xfId="0" applyFill="1" applyBorder="1"/>
    <xf numFmtId="0" fontId="0" fillId="0" borderId="0" xfId="0" applyAlignment="1">
      <alignment vertical="center"/>
    </xf>
    <xf numFmtId="0" fontId="7" fillId="0" borderId="0" xfId="0" applyFont="1"/>
    <xf numFmtId="1" fontId="0" fillId="0" borderId="11" xfId="0" applyNumberFormat="1" applyBorder="1" applyAlignment="1">
      <alignment horizontal="right"/>
    </xf>
    <xf numFmtId="0" fontId="3" fillId="0" borderId="0" xfId="0" applyFont="1"/>
    <xf numFmtId="0" fontId="0" fillId="0" borderId="23" xfId="0" applyBorder="1"/>
    <xf numFmtId="0" fontId="0" fillId="0" borderId="6" xfId="0" applyBorder="1"/>
    <xf numFmtId="0" fontId="3" fillId="4" borderId="2" xfId="0" applyFont="1" applyFill="1" applyBorder="1"/>
    <xf numFmtId="0" fontId="8" fillId="0" borderId="1" xfId="0" applyFont="1" applyBorder="1"/>
    <xf numFmtId="0" fontId="1" fillId="0" borderId="21" xfId="0" applyFont="1" applyBorder="1" applyAlignment="1">
      <alignment horizontal="center"/>
    </xf>
    <xf numFmtId="49" fontId="0" fillId="0" borderId="0" xfId="0" applyNumberFormat="1"/>
    <xf numFmtId="0" fontId="3" fillId="4" borderId="0" xfId="0" applyFont="1" applyFill="1"/>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0" fontId="0" fillId="0" borderId="13" xfId="0" applyBorder="1"/>
    <xf numFmtId="0" fontId="0" fillId="0" borderId="16" xfId="0" applyBorder="1"/>
    <xf numFmtId="0" fontId="0" fillId="0" borderId="17" xfId="0" applyBorder="1"/>
    <xf numFmtId="0" fontId="9" fillId="0" borderId="0" xfId="0" applyFont="1"/>
    <xf numFmtId="0" fontId="0" fillId="0" borderId="33" xfId="0" applyBorder="1"/>
    <xf numFmtId="0" fontId="0" fillId="0" borderId="34" xfId="0" applyBorder="1"/>
    <xf numFmtId="0" fontId="11" fillId="0" borderId="17" xfId="0" applyFont="1" applyBorder="1" applyAlignment="1">
      <alignment horizontal="justify" vertical="center" wrapText="1"/>
    </xf>
    <xf numFmtId="0" fontId="13" fillId="0" borderId="1" xfId="0" applyFont="1" applyBorder="1" applyAlignment="1">
      <alignment horizontal="left"/>
    </xf>
    <xf numFmtId="0" fontId="1" fillId="0" borderId="32" xfId="0" applyFont="1" applyBorder="1"/>
    <xf numFmtId="49" fontId="0" fillId="0" borderId="0" xfId="0" applyNumberFormat="1" applyAlignment="1">
      <alignment wrapText="1"/>
    </xf>
    <xf numFmtId="49" fontId="1" fillId="0" borderId="0" xfId="0" applyNumberFormat="1" applyFont="1"/>
    <xf numFmtId="0" fontId="1" fillId="0" borderId="30" xfId="0" applyFont="1" applyBorder="1"/>
    <xf numFmtId="0" fontId="5" fillId="0" borderId="2" xfId="0" applyFont="1" applyBorder="1" applyAlignment="1">
      <alignment horizontal="right"/>
    </xf>
    <xf numFmtId="0" fontId="5" fillId="0" borderId="3" xfId="0" applyFont="1" applyBorder="1"/>
    <xf numFmtId="20" fontId="5" fillId="0" borderId="4" xfId="0" applyNumberFormat="1" applyFont="1" applyBorder="1"/>
    <xf numFmtId="0" fontId="5" fillId="0" borderId="5" xfId="0" applyFont="1" applyBorder="1" applyAlignment="1">
      <alignment horizontal="right"/>
    </xf>
    <xf numFmtId="0" fontId="5" fillId="0" borderId="7" xfId="0" applyFont="1" applyBorder="1" applyAlignment="1">
      <alignment horizontal="right"/>
    </xf>
    <xf numFmtId="0" fontId="0" fillId="0" borderId="5" xfId="0" applyBorder="1" applyAlignment="1">
      <alignment horizontal="right"/>
    </xf>
    <xf numFmtId="20" fontId="0" fillId="0" borderId="6" xfId="0" applyNumberFormat="1" applyBorder="1"/>
    <xf numFmtId="0" fontId="0" fillId="0" borderId="5" xfId="0" applyBorder="1" applyAlignment="1">
      <alignment horizontal="right" wrapText="1"/>
    </xf>
    <xf numFmtId="0" fontId="1" fillId="0" borderId="5" xfId="0" applyFont="1" applyBorder="1" applyAlignment="1">
      <alignment horizontal="right"/>
    </xf>
    <xf numFmtId="0" fontId="9" fillId="0" borderId="6" xfId="0" applyFont="1" applyBorder="1"/>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vertical="center"/>
    </xf>
    <xf numFmtId="0" fontId="19" fillId="0" borderId="1" xfId="0" applyFont="1" applyBorder="1" applyAlignment="1">
      <alignment horizontal="left" vertical="center" wrapText="1"/>
    </xf>
    <xf numFmtId="0" fontId="20" fillId="0" borderId="1" xfId="0" applyFont="1" applyBorder="1" applyAlignment="1">
      <alignment horizontal="center" vertical="center" wrapText="1" readingOrder="1"/>
    </xf>
    <xf numFmtId="0" fontId="19" fillId="0" borderId="1" xfId="0" applyFont="1" applyBorder="1" applyAlignment="1">
      <alignment horizontal="center" vertical="center" wrapText="1"/>
    </xf>
    <xf numFmtId="0" fontId="19" fillId="0" borderId="1" xfId="0" applyFont="1" applyBorder="1" applyAlignment="1">
      <alignment vertical="center"/>
    </xf>
    <xf numFmtId="0" fontId="16" fillId="0" borderId="1" xfId="0" applyFont="1" applyBorder="1" applyAlignment="1">
      <alignment horizontal="left" vertical="center" wrapText="1" readingOrder="1"/>
    </xf>
    <xf numFmtId="0" fontId="0" fillId="0" borderId="1" xfId="0" applyBorder="1" applyAlignment="1">
      <alignment horizontal="right" vertical="center"/>
    </xf>
    <xf numFmtId="0" fontId="1" fillId="0" borderId="14" xfId="0" applyFont="1" applyBorder="1"/>
    <xf numFmtId="0" fontId="0" fillId="0" borderId="12" xfId="0" applyBorder="1"/>
    <xf numFmtId="0" fontId="0" fillId="0" borderId="15" xfId="0" applyBorder="1"/>
    <xf numFmtId="0" fontId="5" fillId="0" borderId="0" xfId="0" applyFont="1" applyAlignment="1">
      <alignment horizontal="center" vertical="center" wrapText="1"/>
    </xf>
    <xf numFmtId="0" fontId="11" fillId="0" borderId="15" xfId="0" applyFont="1" applyBorder="1" applyAlignment="1">
      <alignment horizontal="justify" vertical="center" wrapText="1"/>
    </xf>
    <xf numFmtId="0" fontId="10" fillId="0" borderId="28" xfId="0" applyFont="1" applyBorder="1" applyAlignment="1">
      <alignment horizontal="justify" vertical="center" wrapText="1"/>
    </xf>
    <xf numFmtId="0" fontId="8" fillId="0" borderId="3" xfId="0" applyFont="1" applyBorder="1"/>
    <xf numFmtId="0" fontId="8" fillId="0" borderId="3" xfId="0" applyFont="1" applyBorder="1" applyAlignment="1">
      <alignment horizontal="right"/>
    </xf>
    <xf numFmtId="0" fontId="3" fillId="4" borderId="3" xfId="0" applyFont="1" applyFill="1" applyBorder="1"/>
    <xf numFmtId="0" fontId="3" fillId="4" borderId="4" xfId="0" applyFont="1" applyFill="1" applyBorder="1" applyAlignment="1">
      <alignment horizontal="center"/>
    </xf>
    <xf numFmtId="0" fontId="19" fillId="4" borderId="1" xfId="0" applyFont="1" applyFill="1" applyBorder="1" applyAlignment="1">
      <alignment vertical="center"/>
    </xf>
    <xf numFmtId="0" fontId="0" fillId="3" borderId="37" xfId="0" applyFill="1" applyBorder="1"/>
    <xf numFmtId="0" fontId="0" fillId="3" borderId="23" xfId="0" applyFill="1" applyBorder="1"/>
    <xf numFmtId="0" fontId="0" fillId="12" borderId="1" xfId="0" applyFill="1" applyBorder="1" applyAlignment="1">
      <alignment horizontal="right"/>
    </xf>
    <xf numFmtId="0" fontId="1" fillId="0" borderId="1" xfId="0" applyFont="1" applyBorder="1" applyAlignment="1">
      <alignment horizontal="center" vertical="center"/>
    </xf>
    <xf numFmtId="0" fontId="0" fillId="13" borderId="1" xfId="0" applyFill="1" applyBorder="1"/>
    <xf numFmtId="0" fontId="0" fillId="12" borderId="1" xfId="0" applyFill="1" applyBorder="1"/>
    <xf numFmtId="0" fontId="14" fillId="0" borderId="1" xfId="0" applyFont="1" applyBorder="1"/>
    <xf numFmtId="0" fontId="23" fillId="5" borderId="1" xfId="0" applyFont="1" applyFill="1" applyBorder="1" applyAlignment="1">
      <alignment horizontal="left" vertical="center"/>
    </xf>
    <xf numFmtId="0" fontId="23" fillId="5" borderId="1" xfId="0" applyFont="1" applyFill="1" applyBorder="1" applyAlignment="1">
      <alignment horizontal="center" vertical="center"/>
    </xf>
    <xf numFmtId="0" fontId="23" fillId="4" borderId="1" xfId="0" applyFont="1" applyFill="1" applyBorder="1" applyAlignment="1">
      <alignment horizontal="left" vertical="center"/>
    </xf>
    <xf numFmtId="0" fontId="23" fillId="4" borderId="1" xfId="0" applyFont="1" applyFill="1" applyBorder="1" applyAlignment="1">
      <alignment horizontal="center" vertical="center"/>
    </xf>
    <xf numFmtId="0" fontId="23" fillId="14" borderId="1" xfId="0" applyFont="1" applyFill="1" applyBorder="1" applyAlignment="1">
      <alignment horizontal="left" vertical="center"/>
    </xf>
    <xf numFmtId="0" fontId="23" fillId="14" borderId="1" xfId="0" applyFont="1" applyFill="1" applyBorder="1" applyAlignment="1">
      <alignment horizontal="center" vertical="center"/>
    </xf>
    <xf numFmtId="0" fontId="23" fillId="8" borderId="1" xfId="0" applyFont="1" applyFill="1" applyBorder="1" applyAlignment="1">
      <alignment horizontal="left" vertical="center"/>
    </xf>
    <xf numFmtId="0" fontId="23" fillId="8" borderId="1" xfId="0" applyFont="1" applyFill="1" applyBorder="1" applyAlignment="1">
      <alignment horizontal="center" vertical="center"/>
    </xf>
    <xf numFmtId="0" fontId="23" fillId="7" borderId="1" xfId="0" applyFont="1" applyFill="1" applyBorder="1" applyAlignment="1">
      <alignment horizontal="left" vertical="center"/>
    </xf>
    <xf numFmtId="0" fontId="23" fillId="7" borderId="1" xfId="0" applyFont="1" applyFill="1" applyBorder="1" applyAlignment="1">
      <alignment horizontal="center" vertical="center"/>
    </xf>
    <xf numFmtId="0" fontId="23" fillId="6" borderId="1" xfId="0" applyFont="1" applyFill="1" applyBorder="1" applyAlignment="1">
      <alignment horizontal="left" vertical="center"/>
    </xf>
    <xf numFmtId="0" fontId="23" fillId="6" borderId="1" xfId="0" applyFont="1" applyFill="1" applyBorder="1" applyAlignment="1">
      <alignment horizontal="center" vertical="center"/>
    </xf>
    <xf numFmtId="0" fontId="0" fillId="0" borderId="0" xfId="0" applyAlignment="1">
      <alignment horizontal="left"/>
    </xf>
    <xf numFmtId="0" fontId="8" fillId="12" borderId="3" xfId="0" applyFont="1" applyFill="1" applyBorder="1" applyAlignment="1">
      <alignment horizontal="right"/>
    </xf>
    <xf numFmtId="2" fontId="0" fillId="3" borderId="22" xfId="0" applyNumberFormat="1" applyFill="1" applyBorder="1"/>
    <xf numFmtId="2" fontId="0" fillId="0" borderId="22" xfId="0" applyNumberFormat="1" applyBorder="1"/>
    <xf numFmtId="0" fontId="8" fillId="15" borderId="3" xfId="0" applyFont="1" applyFill="1" applyBorder="1" applyAlignment="1">
      <alignment horizontal="right"/>
    </xf>
    <xf numFmtId="0" fontId="0" fillId="12" borderId="5" xfId="0" applyFill="1" applyBorder="1"/>
    <xf numFmtId="0" fontId="10" fillId="0" borderId="0" xfId="0" applyFont="1" applyAlignment="1">
      <alignment horizontal="left" vertical="top"/>
    </xf>
    <xf numFmtId="0" fontId="0" fillId="15" borderId="1" xfId="0" applyFill="1" applyBorder="1" applyAlignment="1">
      <alignment horizontal="right"/>
    </xf>
    <xf numFmtId="0" fontId="3" fillId="10" borderId="2" xfId="0" applyFont="1" applyFill="1" applyBorder="1"/>
    <xf numFmtId="2" fontId="3" fillId="10" borderId="3" xfId="0" applyNumberFormat="1" applyFont="1" applyFill="1" applyBorder="1"/>
    <xf numFmtId="2" fontId="3" fillId="10" borderId="4" xfId="0" applyNumberFormat="1" applyFont="1" applyFill="1" applyBorder="1" applyAlignment="1">
      <alignment horizontal="right"/>
    </xf>
    <xf numFmtId="0" fontId="3" fillId="16" borderId="1" xfId="0" applyFont="1" applyFill="1" applyBorder="1"/>
    <xf numFmtId="0" fontId="3" fillId="16" borderId="1" xfId="0" applyFont="1" applyFill="1" applyBorder="1" applyAlignment="1">
      <alignment horizontal="center"/>
    </xf>
    <xf numFmtId="0" fontId="22" fillId="9" borderId="1" xfId="0" applyFont="1" applyFill="1" applyBorder="1" applyAlignment="1">
      <alignment horizontal="justify" vertical="center" wrapText="1"/>
    </xf>
    <xf numFmtId="0" fontId="22" fillId="9" borderId="22" xfId="0" applyFont="1" applyFill="1" applyBorder="1" applyAlignment="1">
      <alignment horizontal="justify" vertical="center" wrapText="1"/>
    </xf>
    <xf numFmtId="0" fontId="22" fillId="0" borderId="22" xfId="0" applyFont="1" applyBorder="1" applyAlignment="1">
      <alignment horizontal="justify" vertical="center" wrapText="1"/>
    </xf>
    <xf numFmtId="0" fontId="22" fillId="9" borderId="31" xfId="0" applyFont="1" applyFill="1" applyBorder="1" applyAlignment="1">
      <alignment horizontal="justify" vertical="center" wrapText="1"/>
    </xf>
    <xf numFmtId="0" fontId="22" fillId="0" borderId="31" xfId="0" applyFont="1" applyBorder="1" applyAlignment="1">
      <alignment horizontal="justify" vertical="center" wrapText="1"/>
    </xf>
    <xf numFmtId="0" fontId="22" fillId="9" borderId="38" xfId="0" applyFont="1" applyFill="1" applyBorder="1" applyAlignment="1">
      <alignment horizontal="justify" vertical="center" wrapText="1"/>
    </xf>
    <xf numFmtId="0" fontId="11" fillId="0" borderId="0" xfId="0" applyFont="1" applyAlignment="1">
      <alignment horizontal="justify" vertical="center" wrapText="1"/>
    </xf>
    <xf numFmtId="0" fontId="22" fillId="9" borderId="39" xfId="0" applyFont="1" applyFill="1" applyBorder="1" applyAlignment="1">
      <alignment horizontal="justify" vertical="center" wrapText="1"/>
    </xf>
    <xf numFmtId="2" fontId="0" fillId="0" borderId="9" xfId="0" applyNumberFormat="1" applyBorder="1"/>
    <xf numFmtId="2" fontId="0" fillId="0" borderId="1" xfId="0" applyNumberFormat="1" applyBorder="1"/>
    <xf numFmtId="0" fontId="0" fillId="0" borderId="0" xfId="0" applyAlignment="1">
      <alignment horizontal="left" wrapText="1"/>
    </xf>
    <xf numFmtId="0" fontId="0" fillId="12" borderId="0" xfId="0" applyFill="1"/>
    <xf numFmtId="0" fontId="0" fillId="12" borderId="23" xfId="0" applyFill="1" applyBorder="1"/>
    <xf numFmtId="0" fontId="0" fillId="12" borderId="22" xfId="0" applyFill="1" applyBorder="1"/>
    <xf numFmtId="0" fontId="22" fillId="9" borderId="5" xfId="0" applyFont="1" applyFill="1" applyBorder="1" applyAlignment="1">
      <alignment horizontal="justify" vertical="center" wrapText="1"/>
    </xf>
    <xf numFmtId="0" fontId="22" fillId="9" borderId="6" xfId="0" applyFont="1" applyFill="1" applyBorder="1" applyAlignment="1">
      <alignment horizontal="justify" vertical="center" wrapText="1"/>
    </xf>
    <xf numFmtId="0" fontId="22" fillId="0" borderId="6" xfId="0" applyFont="1" applyBorder="1" applyAlignment="1">
      <alignment horizontal="justify" vertical="center" wrapText="1"/>
    </xf>
    <xf numFmtId="0" fontId="22" fillId="9" borderId="7" xfId="0" applyFont="1" applyFill="1" applyBorder="1" applyAlignment="1">
      <alignment horizontal="justify" vertical="center" wrapText="1"/>
    </xf>
    <xf numFmtId="0" fontId="22" fillId="9" borderId="8" xfId="0" applyFont="1" applyFill="1" applyBorder="1" applyAlignment="1">
      <alignment horizontal="justify" vertical="center" wrapText="1"/>
    </xf>
    <xf numFmtId="0" fontId="22" fillId="9" borderId="9" xfId="0" applyFont="1" applyFill="1" applyBorder="1" applyAlignment="1">
      <alignment horizontal="justify" vertical="center" wrapText="1"/>
    </xf>
    <xf numFmtId="20" fontId="1" fillId="17" borderId="1" xfId="0" applyNumberFormat="1" applyFont="1" applyFill="1" applyBorder="1" applyAlignment="1">
      <alignment horizontal="center"/>
    </xf>
    <xf numFmtId="0" fontId="1" fillId="17" borderId="1" xfId="0" applyFont="1" applyFill="1" applyBorder="1" applyAlignment="1">
      <alignment horizontal="center"/>
    </xf>
    <xf numFmtId="0" fontId="0" fillId="11" borderId="1" xfId="0" applyFill="1" applyBorder="1" applyAlignment="1">
      <alignment horizontal="left"/>
    </xf>
    <xf numFmtId="0" fontId="0" fillId="9" borderId="0" xfId="0" applyFill="1"/>
    <xf numFmtId="0" fontId="11" fillId="0" borderId="1" xfId="0" applyFont="1" applyBorder="1" applyAlignment="1">
      <alignment horizontal="justify" vertical="center" wrapText="1"/>
    </xf>
    <xf numFmtId="0" fontId="22" fillId="0" borderId="1" xfId="0" applyFont="1" applyBorder="1" applyAlignment="1">
      <alignment horizontal="justify" vertical="center" wrapText="1"/>
    </xf>
    <xf numFmtId="0" fontId="11" fillId="0" borderId="5" xfId="0" applyFont="1" applyBorder="1" applyAlignment="1">
      <alignment horizontal="justify" vertical="center" wrapText="1"/>
    </xf>
    <xf numFmtId="0" fontId="11" fillId="0" borderId="6" xfId="0" applyFont="1" applyBorder="1" applyAlignment="1">
      <alignment horizontal="justify" vertical="center" wrapText="1"/>
    </xf>
    <xf numFmtId="0" fontId="22" fillId="0" borderId="8" xfId="0" applyFont="1" applyBorder="1" applyAlignment="1">
      <alignment horizontal="justify" vertical="center" wrapText="1"/>
    </xf>
    <xf numFmtId="0" fontId="11" fillId="0" borderId="41" xfId="0" applyFont="1" applyBorder="1" applyAlignment="1">
      <alignment horizontal="justify" vertical="center" wrapText="1"/>
    </xf>
    <xf numFmtId="0" fontId="11" fillId="0" borderId="36" xfId="0" applyFont="1" applyBorder="1" applyAlignment="1">
      <alignment horizontal="justify" vertical="center" wrapText="1"/>
    </xf>
    <xf numFmtId="0" fontId="0" fillId="0" borderId="24" xfId="0" applyBorder="1"/>
    <xf numFmtId="0" fontId="3" fillId="18" borderId="2" xfId="0" applyFont="1" applyFill="1" applyBorder="1"/>
    <xf numFmtId="2" fontId="3" fillId="18" borderId="3" xfId="0" applyNumberFormat="1" applyFont="1" applyFill="1" applyBorder="1"/>
    <xf numFmtId="2" fontId="3" fillId="18" borderId="4" xfId="0" applyNumberFormat="1" applyFont="1" applyFill="1" applyBorder="1" applyAlignment="1">
      <alignment horizontal="right"/>
    </xf>
    <xf numFmtId="0" fontId="22" fillId="0" borderId="5" xfId="0" applyFont="1" applyBorder="1" applyAlignment="1">
      <alignment horizontal="justify" vertical="center" wrapText="1"/>
    </xf>
    <xf numFmtId="0" fontId="21" fillId="5" borderId="5" xfId="0" applyFont="1" applyFill="1" applyBorder="1" applyAlignment="1">
      <alignment horizontal="justify" vertical="center" wrapText="1"/>
    </xf>
    <xf numFmtId="0" fontId="21" fillId="5" borderId="1" xfId="0" applyFont="1" applyFill="1" applyBorder="1" applyAlignment="1">
      <alignment horizontal="justify" vertical="center" wrapText="1"/>
    </xf>
    <xf numFmtId="0" fontId="21" fillId="5" borderId="6" xfId="0" applyFont="1" applyFill="1" applyBorder="1" applyAlignment="1">
      <alignment horizontal="justify" vertical="center" wrapText="1"/>
    </xf>
    <xf numFmtId="0" fontId="22" fillId="5" borderId="5" xfId="0" applyFont="1" applyFill="1" applyBorder="1" applyAlignment="1">
      <alignment horizontal="justify" vertical="center" wrapText="1"/>
    </xf>
    <xf numFmtId="0" fontId="22" fillId="5" borderId="1" xfId="0" applyFont="1" applyFill="1" applyBorder="1" applyAlignment="1">
      <alignment horizontal="justify" vertical="center" wrapText="1"/>
    </xf>
    <xf numFmtId="0" fontId="22" fillId="5" borderId="6" xfId="0" applyFont="1" applyFill="1" applyBorder="1" applyAlignment="1">
      <alignment horizontal="justify" vertical="center" wrapText="1"/>
    </xf>
    <xf numFmtId="0" fontId="3" fillId="5" borderId="0" xfId="0" applyFont="1" applyFill="1"/>
    <xf numFmtId="0" fontId="22" fillId="7" borderId="5" xfId="0" applyFont="1" applyFill="1" applyBorder="1" applyAlignment="1">
      <alignment horizontal="justify" vertical="center" wrapText="1"/>
    </xf>
    <xf numFmtId="0" fontId="22" fillId="7" borderId="1" xfId="0" applyFont="1" applyFill="1" applyBorder="1" applyAlignment="1">
      <alignment horizontal="justify" vertical="center" wrapText="1"/>
    </xf>
    <xf numFmtId="0" fontId="22" fillId="7" borderId="6" xfId="0" applyFont="1" applyFill="1" applyBorder="1" applyAlignment="1">
      <alignment horizontal="justify" vertical="center" wrapText="1"/>
    </xf>
    <xf numFmtId="0" fontId="3" fillId="7" borderId="0" xfId="0" applyFont="1" applyFill="1"/>
    <xf numFmtId="0" fontId="22" fillId="4" borderId="5" xfId="0" applyFont="1" applyFill="1" applyBorder="1" applyAlignment="1">
      <alignment horizontal="justify" vertical="center" wrapText="1"/>
    </xf>
    <xf numFmtId="0" fontId="22" fillId="4" borderId="1" xfId="0" applyFont="1" applyFill="1" applyBorder="1" applyAlignment="1">
      <alignment horizontal="justify" vertical="center" wrapText="1"/>
    </xf>
    <xf numFmtId="0" fontId="22" fillId="4" borderId="6" xfId="0" applyFont="1" applyFill="1" applyBorder="1" applyAlignment="1">
      <alignment horizontal="justify"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 fillId="0" borderId="2" xfId="0" applyFont="1" applyBorder="1" applyAlignment="1">
      <alignment horizontal="center"/>
    </xf>
    <xf numFmtId="0" fontId="1" fillId="0" borderId="4" xfId="0" applyFont="1" applyBorder="1" applyAlignment="1">
      <alignment horizontal="center"/>
    </xf>
    <xf numFmtId="0" fontId="3" fillId="4" borderId="0" xfId="0" applyFont="1" applyFill="1" applyAlignment="1">
      <alignment horizontal="center" vertical="center" wrapText="1"/>
    </xf>
    <xf numFmtId="0" fontId="3" fillId="4" borderId="28" xfId="0" applyFont="1" applyFill="1" applyBorder="1" applyAlignment="1">
      <alignment horizontal="center" vertical="center" wrapText="1"/>
    </xf>
    <xf numFmtId="0" fontId="27" fillId="2" borderId="0" xfId="0" applyFont="1" applyFill="1" applyAlignment="1">
      <alignment horizontal="center" vertical="center" wrapText="1"/>
    </xf>
    <xf numFmtId="0" fontId="26" fillId="2" borderId="0" xfId="0" applyFont="1" applyFill="1" applyAlignment="1">
      <alignment horizontal="center" vertical="center" wrapText="1"/>
    </xf>
    <xf numFmtId="0" fontId="28" fillId="0" borderId="25" xfId="0" applyFont="1" applyBorder="1" applyAlignment="1">
      <alignment horizontal="center"/>
    </xf>
    <xf numFmtId="0" fontId="29" fillId="0" borderId="40" xfId="0" applyFont="1" applyBorder="1" applyAlignment="1">
      <alignment horizontal="center"/>
    </xf>
    <xf numFmtId="0" fontId="29" fillId="0" borderId="26" xfId="0" applyFont="1" applyBorder="1" applyAlignment="1">
      <alignment horizontal="center"/>
    </xf>
    <xf numFmtId="0" fontId="30" fillId="0" borderId="25" xfId="0" applyFont="1" applyBorder="1" applyAlignment="1">
      <alignment horizontal="center"/>
    </xf>
    <xf numFmtId="0" fontId="30" fillId="0" borderId="40" xfId="0" applyFont="1" applyBorder="1" applyAlignment="1">
      <alignment horizontal="center"/>
    </xf>
    <xf numFmtId="0" fontId="30" fillId="0" borderId="26" xfId="0" applyFont="1" applyBorder="1" applyAlignment="1">
      <alignment horizontal="center"/>
    </xf>
    <xf numFmtId="0" fontId="0" fillId="0" borderId="0" xfId="0" applyAlignment="1">
      <alignment horizontal="center" wrapText="1"/>
    </xf>
    <xf numFmtId="0" fontId="0" fillId="0" borderId="28" xfId="0" applyBorder="1" applyAlignment="1">
      <alignment horizontal="center" wrapText="1"/>
    </xf>
    <xf numFmtId="0" fontId="1" fillId="0" borderId="25" xfId="0" applyFont="1" applyBorder="1" applyAlignment="1">
      <alignment horizontal="center" vertical="center" wrapText="1"/>
    </xf>
    <xf numFmtId="0" fontId="1" fillId="0" borderId="14" xfId="0" applyFont="1" applyBorder="1" applyAlignment="1">
      <alignment horizontal="center" vertical="center" wrapText="1"/>
    </xf>
    <xf numFmtId="20" fontId="9" fillId="0" borderId="1" xfId="0" applyNumberFormat="1" applyFont="1" applyBorder="1" applyAlignment="1">
      <alignment horizontal="center" vertical="center"/>
    </xf>
    <xf numFmtId="20" fontId="9" fillId="0" borderId="6" xfId="0" applyNumberFormat="1" applyFont="1" applyBorder="1" applyAlignment="1">
      <alignment horizontal="center" vertical="center"/>
    </xf>
    <xf numFmtId="0" fontId="1" fillId="0" borderId="1" xfId="0" applyFont="1" applyBorder="1" applyAlignment="1">
      <alignment horizontal="center" vertical="center" wrapText="1"/>
    </xf>
    <xf numFmtId="0" fontId="8" fillId="0" borderId="29" xfId="0" applyFont="1" applyBorder="1" applyAlignment="1">
      <alignment horizontal="center" wrapText="1"/>
    </xf>
    <xf numFmtId="0" fontId="8" fillId="0" borderId="0" xfId="0" applyFont="1" applyAlignment="1">
      <alignment horizontal="center" wrapText="1"/>
    </xf>
    <xf numFmtId="20" fontId="9" fillId="0" borderId="8" xfId="0" applyNumberFormat="1" applyFont="1" applyBorder="1" applyAlignment="1">
      <alignment horizontal="center" vertical="center"/>
    </xf>
    <xf numFmtId="20" fontId="9" fillId="0" borderId="9" xfId="0" applyNumberFormat="1" applyFont="1" applyBorder="1" applyAlignment="1">
      <alignment horizontal="center" vertical="center"/>
    </xf>
    <xf numFmtId="0" fontId="0" fillId="0" borderId="35" xfId="0" applyBorder="1" applyAlignment="1">
      <alignment horizontal="center" wrapText="1"/>
    </xf>
    <xf numFmtId="0" fontId="0" fillId="0" borderId="1" xfId="0" applyBorder="1" applyAlignment="1">
      <alignment horizontal="center" wrapText="1"/>
    </xf>
    <xf numFmtId="0" fontId="1" fillId="0" borderId="1" xfId="0" applyFont="1" applyBorder="1" applyAlignment="1">
      <alignment horizontal="center" wrapText="1"/>
    </xf>
    <xf numFmtId="0" fontId="15" fillId="0" borderId="33" xfId="0" applyFont="1" applyBorder="1" applyAlignment="1">
      <alignment horizontal="left"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0432FF"/>
      <color rgb="FF008F00"/>
      <color rgb="FFFF40FF"/>
      <color rgb="FF00FDFF"/>
      <color rgb="FFFF21B8"/>
      <color rgb="FFFF8AD8"/>
      <color rgb="FFED7D31"/>
      <color rgb="FF00FA00"/>
      <color rgb="FFD883FF"/>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09C7-3A0E-234C-B17F-DB8FA250B5EC}">
  <sheetPr>
    <pageSetUpPr fitToPage="1"/>
  </sheetPr>
  <dimension ref="H1:AN76"/>
  <sheetViews>
    <sheetView topLeftCell="Q1" zoomScale="106" zoomScaleNormal="160" workbookViewId="0">
      <selection activeCell="S4" sqref="S4:AN19"/>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45" customWidth="1"/>
    <col min="20" max="20" width="9.5" bestFit="1" customWidth="1"/>
    <col min="21" max="21" width="12.6640625" bestFit="1" customWidth="1"/>
    <col min="22" max="22" width="7.33203125" customWidth="1"/>
    <col min="23" max="23" width="11.6640625" customWidth="1"/>
    <col min="24" max="24" width="19" customWidth="1"/>
    <col min="25" max="25" width="17.6640625" customWidth="1"/>
    <col min="26" max="26" width="5.1640625" customWidth="1"/>
    <col min="27" max="27" width="4.33203125" customWidth="1"/>
    <col min="28" max="33" width="3.83203125" customWidth="1"/>
    <col min="34" max="35" width="3.6640625" bestFit="1" customWidth="1"/>
    <col min="36" max="36" width="3.83203125" customWidth="1"/>
    <col min="37" max="37" width="4" customWidth="1"/>
    <col min="38" max="38" width="4.6640625" customWidth="1"/>
    <col min="39" max="39" width="3.83203125" customWidth="1"/>
    <col min="40" max="40" width="10.5" bestFit="1" customWidth="1"/>
    <col min="41" max="41" width="14.1640625" customWidth="1"/>
    <col min="42" max="42" width="14.33203125" customWidth="1"/>
    <col min="43" max="43" width="3.83203125" customWidth="1"/>
    <col min="44" max="44" width="3.33203125" customWidth="1"/>
    <col min="45" max="45" width="2.83203125" customWidth="1"/>
    <col min="46" max="46" width="4.1640625" customWidth="1"/>
    <col min="47" max="47" width="5.6640625" customWidth="1"/>
    <col min="48" max="48" width="3.1640625" bestFit="1" customWidth="1"/>
  </cols>
  <sheetData>
    <row r="1" spans="9:40" ht="16" customHeight="1"/>
    <row r="2" spans="9:40" ht="17" customHeight="1" thickBot="1">
      <c r="N2" s="175" t="s">
        <v>162</v>
      </c>
      <c r="O2" s="175"/>
    </row>
    <row r="3" spans="9:40" ht="17" customHeight="1" thickBot="1">
      <c r="I3" s="7"/>
      <c r="J3" s="33" t="s">
        <v>151</v>
      </c>
      <c r="K3" s="48"/>
      <c r="N3" s="175"/>
      <c r="O3" s="175"/>
    </row>
    <row r="4" spans="9:40" ht="17" customHeight="1" thickBot="1">
      <c r="I4" s="7" t="s">
        <v>0</v>
      </c>
      <c r="J4" s="3">
        <v>45726</v>
      </c>
      <c r="K4" s="177" t="s">
        <v>157</v>
      </c>
      <c r="N4" s="175"/>
      <c r="O4" s="175"/>
      <c r="S4" t="s">
        <v>172</v>
      </c>
      <c r="AA4" s="11" t="s">
        <v>150</v>
      </c>
      <c r="AC4" s="32"/>
      <c r="AD4" s="179" t="s">
        <v>149</v>
      </c>
      <c r="AE4" s="180"/>
      <c r="AF4" s="181"/>
      <c r="AG4" s="48"/>
      <c r="AH4" s="48"/>
      <c r="AI4" s="182" t="s">
        <v>161</v>
      </c>
      <c r="AJ4" s="183"/>
      <c r="AK4" s="184"/>
    </row>
    <row r="5" spans="9:40" ht="17" customHeight="1" thickBot="1">
      <c r="K5" s="178"/>
      <c r="L5" s="7" t="s">
        <v>2</v>
      </c>
      <c r="M5" s="4">
        <v>6</v>
      </c>
      <c r="N5" s="175"/>
      <c r="O5" s="175"/>
      <c r="S5" s="185" t="s">
        <v>96</v>
      </c>
      <c r="W5" s="93" t="s">
        <v>118</v>
      </c>
      <c r="X5" s="90" t="s">
        <v>115</v>
      </c>
      <c r="Y5" s="90" t="s">
        <v>113</v>
      </c>
      <c r="AA5" s="51"/>
      <c r="AB5" s="125">
        <v>1</v>
      </c>
      <c r="AC5" s="148">
        <v>2</v>
      </c>
      <c r="AD5" s="145">
        <v>3</v>
      </c>
      <c r="AE5" s="143">
        <v>4</v>
      </c>
      <c r="AF5" s="146">
        <v>5</v>
      </c>
      <c r="AG5" s="149">
        <v>6</v>
      </c>
      <c r="AH5" s="148">
        <v>7</v>
      </c>
      <c r="AI5" s="145">
        <v>8</v>
      </c>
      <c r="AJ5" s="143">
        <v>9</v>
      </c>
      <c r="AK5" s="146">
        <v>10</v>
      </c>
      <c r="AL5" s="149">
        <v>11</v>
      </c>
      <c r="AM5" s="80">
        <v>12</v>
      </c>
    </row>
    <row r="6" spans="9:40" ht="17" customHeight="1" thickBot="1">
      <c r="I6" s="169" t="s">
        <v>74</v>
      </c>
      <c r="J6" s="170"/>
      <c r="K6" s="178"/>
      <c r="N6" s="175"/>
      <c r="O6" s="175"/>
      <c r="S6" s="186"/>
      <c r="T6" s="56" t="s">
        <v>9</v>
      </c>
      <c r="U6" s="56" t="s">
        <v>10</v>
      </c>
      <c r="W6" s="18" t="s">
        <v>89</v>
      </c>
      <c r="X6" s="94" t="s">
        <v>114</v>
      </c>
      <c r="Y6" s="95">
        <v>399</v>
      </c>
      <c r="AA6" s="81" t="s">
        <v>57</v>
      </c>
      <c r="AB6" s="120"/>
      <c r="AC6" s="120"/>
      <c r="AD6" s="133"/>
      <c r="AE6" s="119"/>
      <c r="AF6" s="134"/>
      <c r="AG6" s="122"/>
      <c r="AH6" s="120"/>
      <c r="AI6" s="133"/>
      <c r="AJ6" s="119"/>
      <c r="AK6" s="134"/>
      <c r="AL6" s="122"/>
      <c r="AM6" s="122"/>
    </row>
    <row r="7" spans="9:40" ht="17" thickBot="1">
      <c r="I7" s="171"/>
      <c r="J7" s="172"/>
      <c r="K7" s="178"/>
      <c r="L7" s="173" t="s">
        <v>3</v>
      </c>
      <c r="M7" s="174"/>
      <c r="N7" s="175"/>
      <c r="O7" s="175"/>
      <c r="R7" s="34"/>
      <c r="S7" s="57" t="s">
        <v>65</v>
      </c>
      <c r="T7" s="58">
        <v>95</v>
      </c>
      <c r="U7" s="59">
        <v>8.3333333333333329E-2</v>
      </c>
      <c r="W7" s="18" t="s">
        <v>119</v>
      </c>
      <c r="X7" s="96" t="s">
        <v>108</v>
      </c>
      <c r="Y7" s="97">
        <v>478</v>
      </c>
      <c r="AA7" s="81" t="s">
        <v>58</v>
      </c>
      <c r="AB7" s="120"/>
      <c r="AC7" s="120"/>
      <c r="AD7" s="154"/>
      <c r="AE7" s="144"/>
      <c r="AF7" s="135"/>
      <c r="AG7" s="123"/>
      <c r="AH7" s="121"/>
      <c r="AI7" s="154"/>
      <c r="AJ7" s="144"/>
      <c r="AK7" s="135"/>
      <c r="AL7" s="122"/>
      <c r="AM7" s="122"/>
    </row>
    <row r="8" spans="9:40" ht="18" customHeight="1" thickBot="1">
      <c r="K8" t="s">
        <v>7</v>
      </c>
      <c r="L8" s="5">
        <v>1</v>
      </c>
      <c r="M8" s="10">
        <v>8</v>
      </c>
      <c r="N8" s="176"/>
      <c r="O8" s="176"/>
      <c r="S8" s="62" t="s">
        <v>46</v>
      </c>
      <c r="T8" s="1">
        <v>95</v>
      </c>
      <c r="U8" s="63">
        <v>6.9444444444444441E-3</v>
      </c>
      <c r="W8" s="18" t="s">
        <v>120</v>
      </c>
      <c r="X8" s="98" t="s">
        <v>109</v>
      </c>
      <c r="Y8" s="99">
        <v>479</v>
      </c>
      <c r="AA8" s="81" t="s">
        <v>59</v>
      </c>
      <c r="AB8" s="121"/>
      <c r="AC8" s="120"/>
      <c r="AD8" s="155"/>
      <c r="AE8" s="156"/>
      <c r="AF8" s="157"/>
      <c r="AG8" s="122"/>
      <c r="AH8" s="120"/>
      <c r="AI8" s="158"/>
      <c r="AJ8" s="159"/>
      <c r="AK8" s="160"/>
      <c r="AL8" s="123"/>
      <c r="AM8" s="123"/>
      <c r="AN8" s="161" t="s">
        <v>163</v>
      </c>
    </row>
    <row r="9" spans="9:40" ht="18" customHeight="1" thickBot="1">
      <c r="I9" s="8" t="s">
        <v>1</v>
      </c>
      <c r="J9" s="9" t="s">
        <v>21</v>
      </c>
      <c r="K9" s="9" t="s">
        <v>39</v>
      </c>
      <c r="L9" s="9" t="s">
        <v>12</v>
      </c>
      <c r="M9" s="29" t="s">
        <v>13</v>
      </c>
      <c r="N9" s="187" t="s">
        <v>40</v>
      </c>
      <c r="O9" s="188"/>
      <c r="Q9" s="40"/>
      <c r="S9" s="64" t="s">
        <v>47</v>
      </c>
      <c r="T9" s="75">
        <v>61</v>
      </c>
      <c r="U9" s="63">
        <v>3.4722222222222224E-2</v>
      </c>
      <c r="W9" s="18" t="s">
        <v>120</v>
      </c>
      <c r="X9" s="100" t="s">
        <v>110</v>
      </c>
      <c r="Y9" s="101">
        <v>480</v>
      </c>
      <c r="AA9" s="81" t="s">
        <v>60</v>
      </c>
      <c r="AB9" s="121"/>
      <c r="AC9" s="120"/>
      <c r="AD9" s="162"/>
      <c r="AE9" s="163"/>
      <c r="AF9" s="164"/>
      <c r="AG9" s="123"/>
      <c r="AH9" s="121"/>
      <c r="AI9" s="162"/>
      <c r="AJ9" s="163"/>
      <c r="AK9" s="164"/>
      <c r="AL9" s="123"/>
      <c r="AM9" s="123"/>
      <c r="AN9" s="165" t="s">
        <v>164</v>
      </c>
    </row>
    <row r="10" spans="9:40" ht="18" customHeight="1" thickBot="1">
      <c r="I10" s="2" t="s">
        <v>4</v>
      </c>
      <c r="J10" s="1"/>
      <c r="K10" s="1"/>
      <c r="L10" s="109">
        <f>L19-SUM(L11:L18)</f>
        <v>2.3500000000000014</v>
      </c>
      <c r="M10" s="108">
        <f>L10*$M$8</f>
        <v>18.800000000000011</v>
      </c>
      <c r="N10" s="35"/>
      <c r="O10" s="87" t="str">
        <f>I10</f>
        <v>Nuclease-free water</v>
      </c>
      <c r="R10" s="31"/>
      <c r="S10" s="65" t="s">
        <v>11</v>
      </c>
      <c r="T10" s="91">
        <v>40</v>
      </c>
      <c r="U10" s="66"/>
      <c r="W10" s="18" t="s">
        <v>120</v>
      </c>
      <c r="X10" s="102" t="s">
        <v>111</v>
      </c>
      <c r="Y10" s="103">
        <v>481</v>
      </c>
      <c r="AA10" s="81" t="s">
        <v>61</v>
      </c>
      <c r="AB10" s="120"/>
      <c r="AC10" s="120"/>
      <c r="AD10" s="166"/>
      <c r="AE10" s="167"/>
      <c r="AF10" s="168"/>
      <c r="AG10" s="123"/>
      <c r="AH10" s="121"/>
      <c r="AI10" s="166"/>
      <c r="AJ10" s="167"/>
      <c r="AK10" s="168"/>
      <c r="AL10" s="122"/>
      <c r="AM10" s="122"/>
      <c r="AN10" s="41" t="s">
        <v>165</v>
      </c>
    </row>
    <row r="11" spans="9:40" ht="18" customHeight="1" thickBot="1">
      <c r="I11" s="2" t="s">
        <v>100</v>
      </c>
      <c r="J11" s="113" t="s">
        <v>116</v>
      </c>
      <c r="K11" s="92">
        <f>L35</f>
        <v>0.5</v>
      </c>
      <c r="L11" s="28">
        <f>L19*L35/K35</f>
        <v>0.2</v>
      </c>
      <c r="M11" s="30">
        <f t="shared" ref="M11:M12" si="0">L11*$M$8</f>
        <v>1.6</v>
      </c>
      <c r="N11" s="35"/>
      <c r="O11" s="88" t="str">
        <f t="shared" ref="O11:O12" si="1">I11</f>
        <v>rpoB F Primer (MEP409)</v>
      </c>
      <c r="S11" s="60" t="s">
        <v>107</v>
      </c>
      <c r="T11" s="189" t="s">
        <v>77</v>
      </c>
      <c r="U11" s="190"/>
      <c r="W11" s="18" t="s">
        <v>121</v>
      </c>
      <c r="X11" s="104" t="s">
        <v>112</v>
      </c>
      <c r="Y11" s="105">
        <v>482</v>
      </c>
      <c r="AA11" s="81" t="s">
        <v>62</v>
      </c>
      <c r="AB11" s="120"/>
      <c r="AC11" s="120"/>
      <c r="AD11" s="154"/>
      <c r="AE11" s="144"/>
      <c r="AF11" s="135"/>
      <c r="AG11" s="123"/>
      <c r="AH11" s="121"/>
      <c r="AI11" s="154"/>
      <c r="AJ11" s="144"/>
      <c r="AK11" s="135"/>
      <c r="AL11" s="122"/>
      <c r="AM11" s="122"/>
    </row>
    <row r="12" spans="9:40" ht="18" customHeight="1" thickBot="1">
      <c r="I12" s="2" t="s">
        <v>101</v>
      </c>
      <c r="J12" s="113" t="s">
        <v>117</v>
      </c>
      <c r="K12" s="92">
        <f>L36</f>
        <v>0.05</v>
      </c>
      <c r="L12" s="28">
        <f>L19*L36/K36</f>
        <v>0.2</v>
      </c>
      <c r="M12" s="30">
        <f t="shared" si="0"/>
        <v>1.6</v>
      </c>
      <c r="N12" s="35"/>
      <c r="O12" s="88" t="str">
        <f t="shared" si="1"/>
        <v>rpoB R Primer (MEP410)</v>
      </c>
      <c r="R12" s="31"/>
      <c r="S12" s="61" t="s">
        <v>78</v>
      </c>
      <c r="T12" s="194" t="s">
        <v>75</v>
      </c>
      <c r="U12" s="195"/>
      <c r="W12" s="18" t="s">
        <v>89</v>
      </c>
      <c r="X12" s="117" t="s">
        <v>44</v>
      </c>
      <c r="Y12" s="118" t="s">
        <v>136</v>
      </c>
      <c r="AA12" s="81" t="s">
        <v>63</v>
      </c>
      <c r="AB12" s="124"/>
      <c r="AC12" s="120"/>
      <c r="AD12" s="133"/>
      <c r="AE12" s="144"/>
      <c r="AF12" s="134"/>
      <c r="AG12" s="122"/>
      <c r="AH12" s="121"/>
      <c r="AI12" s="133"/>
      <c r="AJ12" s="119"/>
      <c r="AK12" s="135"/>
      <c r="AL12" s="122"/>
      <c r="AM12" s="122"/>
    </row>
    <row r="13" spans="9:40" ht="17" customHeight="1" thickBot="1">
      <c r="I13" s="2" t="s">
        <v>80</v>
      </c>
      <c r="J13" s="27" t="s">
        <v>43</v>
      </c>
      <c r="K13" s="27" t="s">
        <v>41</v>
      </c>
      <c r="L13" s="28">
        <f>L19/2</f>
        <v>10</v>
      </c>
      <c r="M13" s="30">
        <f>L13*$M$8</f>
        <v>80</v>
      </c>
      <c r="N13" s="35"/>
      <c r="O13" s="88" t="str">
        <f>I13</f>
        <v>SensiFAST Probe No-ROX Kit</v>
      </c>
      <c r="R13" s="31"/>
      <c r="S13" s="196" t="s">
        <v>160</v>
      </c>
      <c r="T13" s="196"/>
      <c r="U13" s="196"/>
      <c r="AA13" s="81" t="s">
        <v>64</v>
      </c>
      <c r="AB13" s="126"/>
      <c r="AC13" s="120"/>
      <c r="AD13" s="136"/>
      <c r="AE13" s="147"/>
      <c r="AF13" s="138"/>
      <c r="AG13" s="122"/>
      <c r="AH13" s="121"/>
      <c r="AI13" s="136"/>
      <c r="AJ13" s="137"/>
      <c r="AK13" s="138"/>
      <c r="AL13" s="122"/>
      <c r="AM13" s="122"/>
    </row>
    <row r="14" spans="9:40" ht="18" customHeight="1">
      <c r="I14" s="111" t="s">
        <v>79</v>
      </c>
      <c r="J14" s="27" t="s">
        <v>81</v>
      </c>
      <c r="K14" s="89" t="s">
        <v>43</v>
      </c>
      <c r="L14" s="28">
        <f>L19*2/10</f>
        <v>4</v>
      </c>
      <c r="M14" s="132">
        <f>L14*$M$8</f>
        <v>32</v>
      </c>
      <c r="N14" s="35"/>
      <c r="O14" s="131" t="str">
        <f>I14</f>
        <v>LC Green Plus</v>
      </c>
      <c r="R14" s="31"/>
      <c r="S14" s="185"/>
      <c r="T14" s="185"/>
      <c r="U14" s="185"/>
      <c r="AA14" s="19"/>
      <c r="AB14" s="43"/>
      <c r="AC14" s="43"/>
      <c r="AD14" s="43"/>
      <c r="AE14" s="43"/>
      <c r="AF14" s="43"/>
      <c r="AG14" s="43"/>
      <c r="AH14" s="43"/>
      <c r="AI14" s="43"/>
      <c r="AJ14" s="43"/>
      <c r="AK14" s="43"/>
      <c r="AL14" s="43"/>
      <c r="AM14" s="43"/>
    </row>
    <row r="15" spans="9:40" ht="18" customHeight="1" thickBot="1">
      <c r="I15" s="2"/>
      <c r="J15" s="27"/>
      <c r="K15" s="27"/>
      <c r="L15" s="38"/>
      <c r="M15" s="1"/>
      <c r="N15" s="150"/>
      <c r="O15" s="150"/>
      <c r="S15" s="185"/>
      <c r="T15" s="185"/>
      <c r="U15" s="185"/>
      <c r="W15" s="198" t="s">
        <v>139</v>
      </c>
      <c r="X15" s="191" t="s">
        <v>166</v>
      </c>
      <c r="Y15" s="191" t="s">
        <v>167</v>
      </c>
      <c r="AC15">
        <v>1</v>
      </c>
      <c r="AD15" t="s">
        <v>132</v>
      </c>
      <c r="AE15" s="42"/>
      <c r="AF15" s="42"/>
      <c r="AG15" s="42"/>
      <c r="AI15" s="19"/>
    </row>
    <row r="16" spans="9:40" ht="17" thickBot="1">
      <c r="I16" s="114" t="s">
        <v>134</v>
      </c>
      <c r="J16" s="110" t="s">
        <v>42</v>
      </c>
      <c r="K16" s="107">
        <v>0.125</v>
      </c>
      <c r="L16" s="115">
        <f>L19*K16/10</f>
        <v>0.25</v>
      </c>
      <c r="M16" s="116">
        <f>L16*$M$8</f>
        <v>2</v>
      </c>
      <c r="N16" s="114" t="s">
        <v>102</v>
      </c>
      <c r="W16" s="198"/>
      <c r="X16" s="191"/>
      <c r="Y16" s="191"/>
      <c r="AA16" s="112"/>
      <c r="AC16">
        <v>2</v>
      </c>
      <c r="AD16" t="s">
        <v>133</v>
      </c>
      <c r="AE16" s="42"/>
      <c r="AF16" s="42"/>
      <c r="AG16" s="42"/>
      <c r="AI16" s="19"/>
    </row>
    <row r="17" spans="9:35" ht="17" customHeight="1" thickBot="1">
      <c r="I17" s="151" t="s">
        <v>156</v>
      </c>
      <c r="J17" s="110" t="str">
        <f>J16</f>
        <v>10 uM</v>
      </c>
      <c r="K17" s="107">
        <v>0.5</v>
      </c>
      <c r="L17" s="152">
        <f>L19*K17/10</f>
        <v>1</v>
      </c>
      <c r="M17" s="153">
        <f>L17*$M$8</f>
        <v>8</v>
      </c>
      <c r="N17" s="151" t="s">
        <v>103</v>
      </c>
      <c r="S17" s="197" t="s">
        <v>147</v>
      </c>
      <c r="T17" s="197"/>
      <c r="U17" s="197"/>
      <c r="W17" s="139" t="s">
        <v>144</v>
      </c>
      <c r="X17" s="140">
        <v>2</v>
      </c>
      <c r="Y17" s="140">
        <v>8</v>
      </c>
      <c r="AC17">
        <v>3</v>
      </c>
      <c r="AD17" t="s">
        <v>122</v>
      </c>
      <c r="AE17" s="79"/>
    </row>
    <row r="18" spans="9:35" ht="16" customHeight="1">
      <c r="I18" s="37" t="s">
        <v>140</v>
      </c>
      <c r="J18" s="83" t="s">
        <v>99</v>
      </c>
      <c r="K18" s="82"/>
      <c r="L18" s="84">
        <v>2</v>
      </c>
      <c r="M18" s="85" t="s">
        <v>5</v>
      </c>
      <c r="N18" s="37" t="s">
        <v>49</v>
      </c>
      <c r="Q18" s="54"/>
      <c r="S18" s="192" t="s">
        <v>171</v>
      </c>
      <c r="T18" s="192"/>
      <c r="U18" s="192"/>
      <c r="AC18">
        <v>4</v>
      </c>
      <c r="AD18" s="19" t="s">
        <v>123</v>
      </c>
      <c r="AE18" s="19"/>
      <c r="AG18" s="79"/>
    </row>
    <row r="19" spans="9:35">
      <c r="K19" s="15" t="s">
        <v>8</v>
      </c>
      <c r="L19" s="16">
        <v>20</v>
      </c>
      <c r="M19" s="17"/>
      <c r="P19" s="54"/>
      <c r="S19" s="193"/>
      <c r="T19" s="193"/>
      <c r="U19" s="193"/>
      <c r="X19" s="42"/>
      <c r="Y19" s="42"/>
      <c r="Z19" s="42"/>
    </row>
    <row r="20" spans="9:35" ht="16" customHeight="1">
      <c r="I20" t="s">
        <v>45</v>
      </c>
      <c r="K20" s="2" t="s">
        <v>7</v>
      </c>
      <c r="L20" s="128">
        <f>SUM(L10:L18)</f>
        <v>20</v>
      </c>
      <c r="M20" s="36">
        <f>SUM(M10:M16)</f>
        <v>136</v>
      </c>
      <c r="P20" s="40"/>
      <c r="S20" s="106"/>
      <c r="T20" s="106"/>
      <c r="U20" s="106"/>
      <c r="X20" s="42"/>
      <c r="Y20" s="42"/>
      <c r="Z20" s="42"/>
    </row>
    <row r="21" spans="9:35" ht="17" customHeight="1" thickBot="1">
      <c r="I21" t="s">
        <v>48</v>
      </c>
      <c r="K21" s="5" t="s">
        <v>6</v>
      </c>
      <c r="L21" s="6"/>
      <c r="M21" s="127">
        <f>SUM(L10:L15)</f>
        <v>16.75</v>
      </c>
      <c r="P21" s="55"/>
      <c r="S21" s="106"/>
    </row>
    <row r="22" spans="9:35" ht="16" customHeight="1">
      <c r="I22" t="s">
        <v>127</v>
      </c>
      <c r="O22" s="11"/>
      <c r="P22" s="40"/>
      <c r="X22" s="79"/>
      <c r="AD22" s="19"/>
      <c r="AE22" s="19"/>
      <c r="AG22" s="79"/>
    </row>
    <row r="23" spans="9:35">
      <c r="I23" t="s">
        <v>97</v>
      </c>
      <c r="J23" t="s">
        <v>106</v>
      </c>
      <c r="K23" t="s">
        <v>152</v>
      </c>
      <c r="W23" s="19"/>
      <c r="X23" s="19"/>
      <c r="Z23" s="79"/>
      <c r="AA23" s="19"/>
      <c r="AB23" s="19"/>
      <c r="AC23" s="19"/>
      <c r="AD23" s="19"/>
      <c r="AE23" s="19"/>
      <c r="AF23" s="19"/>
      <c r="AG23" s="19"/>
      <c r="AH23" s="19"/>
      <c r="AI23" s="19"/>
    </row>
    <row r="24" spans="9:35">
      <c r="I24" t="s">
        <v>135</v>
      </c>
      <c r="Q24" s="11"/>
      <c r="X24" s="19"/>
    </row>
    <row r="25" spans="9:35">
      <c r="I25" t="s">
        <v>141</v>
      </c>
    </row>
    <row r="26" spans="9:35" ht="17" customHeight="1">
      <c r="I26" s="19" t="s">
        <v>128</v>
      </c>
      <c r="W26" s="48"/>
      <c r="X26" s="19"/>
    </row>
    <row r="27" spans="9:35">
      <c r="I27" t="s">
        <v>153</v>
      </c>
      <c r="W27" s="19"/>
      <c r="X27" s="19"/>
    </row>
    <row r="28" spans="9:35" ht="16" customHeight="1">
      <c r="I28" t="s">
        <v>154</v>
      </c>
      <c r="W28" s="19"/>
    </row>
    <row r="29" spans="9:35" ht="15" customHeight="1">
      <c r="I29" t="s">
        <v>155</v>
      </c>
      <c r="K29" s="44"/>
      <c r="L29" s="129"/>
      <c r="M29" s="44"/>
      <c r="R29" s="31"/>
    </row>
    <row r="30" spans="9:35">
      <c r="K30" s="44"/>
      <c r="L30" s="44"/>
      <c r="M30" s="44"/>
      <c r="N30" s="44"/>
    </row>
    <row r="33" spans="9:18" ht="16" customHeight="1">
      <c r="I33" s="19"/>
    </row>
    <row r="34" spans="9:18" ht="17">
      <c r="I34" s="11" t="s">
        <v>1</v>
      </c>
      <c r="J34" s="11" t="s">
        <v>17</v>
      </c>
      <c r="K34" s="11" t="s">
        <v>18</v>
      </c>
      <c r="L34" s="11" t="s">
        <v>20</v>
      </c>
      <c r="M34" s="11" t="s">
        <v>19</v>
      </c>
      <c r="N34" s="11"/>
      <c r="O34" s="13" t="s">
        <v>16</v>
      </c>
      <c r="Q34" s="39" t="s">
        <v>14</v>
      </c>
      <c r="R34" s="11" t="s">
        <v>15</v>
      </c>
    </row>
    <row r="35" spans="9:18">
      <c r="I35" s="2" t="s">
        <v>104</v>
      </c>
      <c r="J35" s="1">
        <v>100</v>
      </c>
      <c r="K35" s="1">
        <v>50</v>
      </c>
      <c r="L35" s="1">
        <v>0.5</v>
      </c>
      <c r="M35" s="1">
        <f>L35*1000</f>
        <v>500</v>
      </c>
      <c r="N35" s="1"/>
      <c r="O35" s="1">
        <f>($L$19*L35)/K35</f>
        <v>0.2</v>
      </c>
      <c r="Q35" s="52"/>
      <c r="R35" s="12"/>
    </row>
    <row r="36" spans="9:18" ht="17">
      <c r="I36" s="2" t="s">
        <v>105</v>
      </c>
      <c r="J36" s="1">
        <v>100</v>
      </c>
      <c r="K36" s="1">
        <v>5</v>
      </c>
      <c r="L36" s="1">
        <v>0.05</v>
      </c>
      <c r="M36" s="1">
        <f t="shared" ref="M36" si="2">L36*1000</f>
        <v>50</v>
      </c>
      <c r="N36" s="1"/>
      <c r="O36" s="1">
        <f>($L$19*L36)/K36</f>
        <v>0.2</v>
      </c>
      <c r="P36" s="67"/>
      <c r="Q36" s="52"/>
      <c r="R36" s="12"/>
    </row>
    <row r="37" spans="9:18" ht="17">
      <c r="P37" s="74"/>
    </row>
    <row r="38" spans="9:18" ht="54">
      <c r="I38" s="67" t="s">
        <v>82</v>
      </c>
      <c r="J38" s="67" t="s">
        <v>83</v>
      </c>
      <c r="K38" s="67" t="s">
        <v>84</v>
      </c>
      <c r="L38" s="67" t="s">
        <v>85</v>
      </c>
      <c r="M38" s="67" t="s">
        <v>86</v>
      </c>
      <c r="N38" s="67" t="s">
        <v>87</v>
      </c>
      <c r="O38" s="67" t="s">
        <v>88</v>
      </c>
      <c r="P38" s="74"/>
      <c r="Q38" s="67"/>
      <c r="R38" s="67"/>
    </row>
    <row r="39" spans="9:18" ht="17">
      <c r="I39" s="68"/>
      <c r="J39" s="69"/>
      <c r="K39" s="70"/>
      <c r="L39" s="70"/>
      <c r="M39" s="71"/>
      <c r="N39" s="72"/>
      <c r="O39" s="74"/>
      <c r="Q39" s="74"/>
      <c r="R39" s="74"/>
    </row>
    <row r="40" spans="9:18" ht="17">
      <c r="I40" s="68"/>
      <c r="J40" s="73"/>
      <c r="K40" s="86"/>
      <c r="L40" s="86"/>
      <c r="M40" s="71"/>
      <c r="N40" s="68"/>
      <c r="O40" s="74"/>
      <c r="Q40" s="74"/>
      <c r="R40" s="74"/>
    </row>
    <row r="41" spans="9:18">
      <c r="I41" t="s">
        <v>98</v>
      </c>
    </row>
    <row r="42" spans="9:18">
      <c r="I42" t="s">
        <v>90</v>
      </c>
    </row>
    <row r="43" spans="9:18" ht="15" customHeight="1"/>
    <row r="44" spans="9:18" ht="15" customHeight="1">
      <c r="I44" t="s">
        <v>146</v>
      </c>
    </row>
    <row r="45" spans="9:18" ht="35" customHeight="1">
      <c r="I45" s="19" t="s">
        <v>124</v>
      </c>
    </row>
    <row r="46" spans="9:18" ht="33" customHeight="1">
      <c r="I46" s="19" t="s">
        <v>142</v>
      </c>
    </row>
    <row r="47" spans="9:18">
      <c r="I47" s="19" t="s">
        <v>130</v>
      </c>
    </row>
    <row r="48" spans="9:18">
      <c r="I48" s="19" t="s">
        <v>129</v>
      </c>
    </row>
    <row r="49" spans="9:15">
      <c r="I49" s="19" t="s">
        <v>131</v>
      </c>
    </row>
    <row r="50" spans="9:15">
      <c r="I50" s="19" t="s">
        <v>137</v>
      </c>
    </row>
    <row r="51" spans="9:15">
      <c r="I51" s="19" t="s">
        <v>138</v>
      </c>
      <c r="O51" s="141" t="s">
        <v>148</v>
      </c>
    </row>
    <row r="52" spans="9:15">
      <c r="I52" s="19" t="s">
        <v>125</v>
      </c>
      <c r="K52" t="s">
        <v>126</v>
      </c>
      <c r="N52" s="142"/>
      <c r="O52" s="130" t="s">
        <v>143</v>
      </c>
    </row>
    <row r="56" spans="9:15" ht="16" customHeight="1"/>
    <row r="63" spans="9:15" ht="16" customHeight="1"/>
    <row r="69" spans="8:8" ht="37" customHeight="1"/>
    <row r="75" spans="8:8">
      <c r="H75" s="14"/>
    </row>
    <row r="76" spans="8:8">
      <c r="H76" s="14"/>
    </row>
  </sheetData>
  <mergeCells count="17">
    <mergeCell ref="X15:X16"/>
    <mergeCell ref="Y15:Y16"/>
    <mergeCell ref="S18:U19"/>
    <mergeCell ref="T12:U12"/>
    <mergeCell ref="S13:U15"/>
    <mergeCell ref="S17:U17"/>
    <mergeCell ref="W15:W16"/>
    <mergeCell ref="AD4:AF4"/>
    <mergeCell ref="AI4:AK4"/>
    <mergeCell ref="S5:S6"/>
    <mergeCell ref="N9:O9"/>
    <mergeCell ref="T11:U11"/>
    <mergeCell ref="I6:J6"/>
    <mergeCell ref="I7:J7"/>
    <mergeCell ref="L7:M7"/>
    <mergeCell ref="N2:O8"/>
    <mergeCell ref="K4:K7"/>
  </mergeCells>
  <pageMargins left="0.7" right="0.7" top="0.75" bottom="0.75" header="0.3" footer="0.3"/>
  <pageSetup scale="4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9982-8AFE-2C43-9BD1-E0C41B6F39BD}">
  <sheetPr>
    <pageSetUpPr fitToPage="1"/>
  </sheetPr>
  <dimension ref="H1:AN76"/>
  <sheetViews>
    <sheetView zoomScale="106" zoomScaleNormal="160" workbookViewId="0">
      <selection activeCell="I3" sqref="I3:O21"/>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45" customWidth="1"/>
    <col min="20" max="20" width="9.5" bestFit="1" customWidth="1"/>
    <col min="21" max="21" width="12.6640625" bestFit="1" customWidth="1"/>
    <col min="22" max="22" width="7.33203125" customWidth="1"/>
    <col min="23" max="23" width="11.6640625" customWidth="1"/>
    <col min="24" max="24" width="19" customWidth="1"/>
    <col min="25" max="25" width="17.6640625" customWidth="1"/>
    <col min="26" max="26" width="5.1640625" customWidth="1"/>
    <col min="27" max="27" width="4.33203125" customWidth="1"/>
    <col min="28" max="33" width="3.83203125" customWidth="1"/>
    <col min="34" max="35" width="3.6640625" bestFit="1" customWidth="1"/>
    <col min="36" max="36" width="3.83203125" customWidth="1"/>
    <col min="37" max="37" width="4" customWidth="1"/>
    <col min="38" max="38" width="4.6640625" customWidth="1"/>
    <col min="39" max="39" width="3.83203125" customWidth="1"/>
    <col min="40" max="40" width="10.5" bestFit="1" customWidth="1"/>
    <col min="41" max="41" width="14.1640625" customWidth="1"/>
    <col min="42" max="42" width="14.33203125" customWidth="1"/>
    <col min="43" max="43" width="3.83203125" customWidth="1"/>
    <col min="44" max="44" width="3.33203125" customWidth="1"/>
    <col min="45" max="45" width="2.83203125" customWidth="1"/>
    <col min="46" max="46" width="4.1640625" customWidth="1"/>
    <col min="47" max="47" width="5.6640625" customWidth="1"/>
    <col min="48" max="48" width="3.1640625" bestFit="1" customWidth="1"/>
  </cols>
  <sheetData>
    <row r="1" spans="9:40" ht="16" customHeight="1"/>
    <row r="2" spans="9:40" ht="17" customHeight="1" thickBot="1"/>
    <row r="3" spans="9:40" ht="17" customHeight="1" thickBot="1">
      <c r="I3" s="7"/>
      <c r="J3" s="33" t="s">
        <v>151</v>
      </c>
      <c r="K3" s="48"/>
    </row>
    <row r="4" spans="9:40" ht="17" customHeight="1" thickBot="1">
      <c r="I4" s="7" t="s">
        <v>0</v>
      </c>
      <c r="J4" s="3">
        <v>45726</v>
      </c>
      <c r="K4" s="177" t="s">
        <v>168</v>
      </c>
      <c r="S4" t="s">
        <v>158</v>
      </c>
      <c r="AA4" s="11" t="s">
        <v>150</v>
      </c>
      <c r="AC4" s="32"/>
      <c r="AD4" s="179" t="s">
        <v>149</v>
      </c>
      <c r="AE4" s="180"/>
      <c r="AF4" s="181"/>
      <c r="AG4" s="48"/>
      <c r="AH4" s="48"/>
      <c r="AI4" s="182" t="s">
        <v>161</v>
      </c>
      <c r="AJ4" s="183"/>
      <c r="AK4" s="184"/>
    </row>
    <row r="5" spans="9:40" ht="17" customHeight="1" thickBot="1">
      <c r="K5" s="178"/>
      <c r="L5" s="7" t="s">
        <v>2</v>
      </c>
      <c r="M5" s="4">
        <v>6</v>
      </c>
      <c r="S5" s="185" t="s">
        <v>96</v>
      </c>
      <c r="W5" s="93" t="s">
        <v>118</v>
      </c>
      <c r="X5" s="90" t="s">
        <v>115</v>
      </c>
      <c r="Y5" s="90" t="s">
        <v>113</v>
      </c>
      <c r="AA5" s="51"/>
      <c r="AB5" s="125">
        <v>1</v>
      </c>
      <c r="AC5" s="148">
        <v>2</v>
      </c>
      <c r="AD5" s="145">
        <v>3</v>
      </c>
      <c r="AE5" s="143">
        <v>4</v>
      </c>
      <c r="AF5" s="146">
        <v>5</v>
      </c>
      <c r="AG5" s="149">
        <v>6</v>
      </c>
      <c r="AH5" s="148">
        <v>7</v>
      </c>
      <c r="AI5" s="145">
        <v>8</v>
      </c>
      <c r="AJ5" s="143">
        <v>9</v>
      </c>
      <c r="AK5" s="146">
        <v>10</v>
      </c>
      <c r="AL5" s="149">
        <v>11</v>
      </c>
      <c r="AM5" s="80">
        <v>12</v>
      </c>
    </row>
    <row r="6" spans="9:40" ht="17" customHeight="1" thickBot="1">
      <c r="I6" s="169" t="s">
        <v>74</v>
      </c>
      <c r="J6" s="170"/>
      <c r="K6" s="178"/>
      <c r="S6" s="186"/>
      <c r="T6" s="56" t="s">
        <v>9</v>
      </c>
      <c r="U6" s="56" t="s">
        <v>10</v>
      </c>
      <c r="W6" s="18" t="s">
        <v>89</v>
      </c>
      <c r="X6" s="94" t="s">
        <v>114</v>
      </c>
      <c r="Y6" s="95">
        <v>399</v>
      </c>
      <c r="AA6" s="81" t="s">
        <v>57</v>
      </c>
      <c r="AB6" s="120"/>
      <c r="AC6" s="120"/>
      <c r="AD6" s="133"/>
      <c r="AE6" s="119"/>
      <c r="AF6" s="134"/>
      <c r="AG6" s="122"/>
      <c r="AH6" s="120"/>
      <c r="AI6" s="133"/>
      <c r="AJ6" s="119"/>
      <c r="AK6" s="134"/>
      <c r="AL6" s="122"/>
      <c r="AM6" s="122"/>
    </row>
    <row r="7" spans="9:40" ht="17" thickBot="1">
      <c r="I7" s="171"/>
      <c r="J7" s="172"/>
      <c r="K7" s="178"/>
      <c r="L7" s="173" t="s">
        <v>3</v>
      </c>
      <c r="M7" s="174"/>
      <c r="R7" s="34"/>
      <c r="S7" s="57" t="s">
        <v>65</v>
      </c>
      <c r="T7" s="58">
        <v>95</v>
      </c>
      <c r="U7" s="59">
        <v>8.3333333333333329E-2</v>
      </c>
      <c r="W7" s="18" t="s">
        <v>119</v>
      </c>
      <c r="X7" s="96" t="s">
        <v>108</v>
      </c>
      <c r="Y7" s="97">
        <v>478</v>
      </c>
      <c r="AA7" s="81" t="s">
        <v>58</v>
      </c>
      <c r="AB7" s="120"/>
      <c r="AC7" s="120"/>
      <c r="AD7" s="154"/>
      <c r="AE7" s="144"/>
      <c r="AF7" s="135"/>
      <c r="AG7" s="123"/>
      <c r="AH7" s="121"/>
      <c r="AI7" s="154"/>
      <c r="AJ7" s="144"/>
      <c r="AK7" s="135"/>
      <c r="AL7" s="122"/>
      <c r="AM7" s="122"/>
    </row>
    <row r="8" spans="9:40" ht="18" customHeight="1" thickBot="1">
      <c r="K8" t="s">
        <v>7</v>
      </c>
      <c r="L8" s="5">
        <v>1</v>
      </c>
      <c r="M8" s="10">
        <v>8</v>
      </c>
      <c r="S8" s="62" t="s">
        <v>46</v>
      </c>
      <c r="T8" s="1">
        <v>95</v>
      </c>
      <c r="U8" s="63">
        <v>6.9444444444444441E-3</v>
      </c>
      <c r="W8" s="18" t="s">
        <v>120</v>
      </c>
      <c r="X8" s="98" t="s">
        <v>109</v>
      </c>
      <c r="Y8" s="99">
        <v>479</v>
      </c>
      <c r="AA8" s="81" t="s">
        <v>59</v>
      </c>
      <c r="AB8" s="121"/>
      <c r="AC8" s="120"/>
      <c r="AD8" s="155"/>
      <c r="AE8" s="156"/>
      <c r="AF8" s="157"/>
      <c r="AG8" s="122"/>
      <c r="AH8" s="120"/>
      <c r="AI8" s="158"/>
      <c r="AJ8" s="159"/>
      <c r="AK8" s="160"/>
      <c r="AL8" s="123"/>
      <c r="AM8" s="123"/>
      <c r="AN8" s="161" t="s">
        <v>163</v>
      </c>
    </row>
    <row r="9" spans="9:40" ht="18" customHeight="1" thickBot="1">
      <c r="I9" s="8" t="s">
        <v>1</v>
      </c>
      <c r="J9" s="9" t="s">
        <v>21</v>
      </c>
      <c r="K9" s="9" t="s">
        <v>39</v>
      </c>
      <c r="L9" s="9" t="s">
        <v>12</v>
      </c>
      <c r="M9" s="29" t="s">
        <v>13</v>
      </c>
      <c r="N9" s="187" t="s">
        <v>40</v>
      </c>
      <c r="O9" s="188"/>
      <c r="Q9" s="40"/>
      <c r="S9" s="64" t="s">
        <v>47</v>
      </c>
      <c r="T9" s="75">
        <v>61</v>
      </c>
      <c r="U9" s="63">
        <v>3.4722222222222224E-2</v>
      </c>
      <c r="W9" s="18" t="s">
        <v>120</v>
      </c>
      <c r="X9" s="100" t="s">
        <v>110</v>
      </c>
      <c r="Y9" s="101">
        <v>480</v>
      </c>
      <c r="AA9" s="81" t="s">
        <v>60</v>
      </c>
      <c r="AB9" s="121"/>
      <c r="AC9" s="120"/>
      <c r="AD9" s="162"/>
      <c r="AE9" s="163"/>
      <c r="AF9" s="164"/>
      <c r="AG9" s="123"/>
      <c r="AH9" s="121"/>
      <c r="AI9" s="162"/>
      <c r="AJ9" s="163"/>
      <c r="AK9" s="164"/>
      <c r="AL9" s="123"/>
      <c r="AM9" s="123"/>
      <c r="AN9" s="165" t="s">
        <v>164</v>
      </c>
    </row>
    <row r="10" spans="9:40" ht="18" customHeight="1" thickBot="1">
      <c r="I10" s="2" t="s">
        <v>4</v>
      </c>
      <c r="J10" s="1"/>
      <c r="K10" s="1"/>
      <c r="L10" s="109">
        <f>L19-SUM(L11:L18)</f>
        <v>3.3500000000000014</v>
      </c>
      <c r="M10" s="108">
        <f>L10*$M$8</f>
        <v>26.800000000000011</v>
      </c>
      <c r="N10" s="35"/>
      <c r="O10" s="87" t="str">
        <f>I10</f>
        <v>Nuclease-free water</v>
      </c>
      <c r="R10" s="31"/>
      <c r="S10" s="65" t="s">
        <v>11</v>
      </c>
      <c r="T10" s="91">
        <v>40</v>
      </c>
      <c r="U10" s="66"/>
      <c r="W10" s="18" t="s">
        <v>120</v>
      </c>
      <c r="X10" s="102" t="s">
        <v>111</v>
      </c>
      <c r="Y10" s="103">
        <v>481</v>
      </c>
      <c r="AA10" s="81" t="s">
        <v>61</v>
      </c>
      <c r="AB10" s="120"/>
      <c r="AC10" s="120"/>
      <c r="AD10" s="166"/>
      <c r="AE10" s="167"/>
      <c r="AF10" s="168"/>
      <c r="AG10" s="123"/>
      <c r="AH10" s="121"/>
      <c r="AI10" s="166"/>
      <c r="AJ10" s="167"/>
      <c r="AK10" s="168"/>
      <c r="AL10" s="122"/>
      <c r="AM10" s="122"/>
      <c r="AN10" s="41" t="s">
        <v>165</v>
      </c>
    </row>
    <row r="11" spans="9:40" ht="18" customHeight="1" thickBot="1">
      <c r="I11" s="2" t="s">
        <v>100</v>
      </c>
      <c r="J11" s="113" t="s">
        <v>116</v>
      </c>
      <c r="K11" s="92">
        <f>L35</f>
        <v>0.5</v>
      </c>
      <c r="L11" s="28">
        <f>L19*L35/K35</f>
        <v>0.2</v>
      </c>
      <c r="M11" s="30">
        <f t="shared" ref="M11:M12" si="0">L11*$M$8</f>
        <v>1.6</v>
      </c>
      <c r="N11" s="35"/>
      <c r="O11" s="88" t="str">
        <f t="shared" ref="O11:O12" si="1">I11</f>
        <v>rpoB F Primer (MEP409)</v>
      </c>
      <c r="S11" s="60" t="s">
        <v>107</v>
      </c>
      <c r="T11" s="189" t="s">
        <v>77</v>
      </c>
      <c r="U11" s="190"/>
      <c r="W11" s="18" t="s">
        <v>121</v>
      </c>
      <c r="X11" s="104" t="s">
        <v>112</v>
      </c>
      <c r="Y11" s="105">
        <v>482</v>
      </c>
      <c r="AA11" s="81" t="s">
        <v>62</v>
      </c>
      <c r="AB11" s="120"/>
      <c r="AC11" s="120"/>
      <c r="AD11" s="154"/>
      <c r="AE11" s="144"/>
      <c r="AF11" s="135"/>
      <c r="AG11" s="123"/>
      <c r="AH11" s="121"/>
      <c r="AI11" s="154"/>
      <c r="AJ11" s="144"/>
      <c r="AK11" s="135"/>
      <c r="AL11" s="122"/>
      <c r="AM11" s="122"/>
    </row>
    <row r="12" spans="9:40" ht="18" customHeight="1" thickBot="1">
      <c r="I12" s="2" t="s">
        <v>101</v>
      </c>
      <c r="J12" s="113" t="s">
        <v>117</v>
      </c>
      <c r="K12" s="92">
        <f>L36</f>
        <v>0.05</v>
      </c>
      <c r="L12" s="28">
        <f>L19*L36/K36</f>
        <v>0.2</v>
      </c>
      <c r="M12" s="30">
        <f t="shared" si="0"/>
        <v>1.6</v>
      </c>
      <c r="N12" s="35"/>
      <c r="O12" s="88" t="str">
        <f t="shared" si="1"/>
        <v>rpoB R Primer (MEP410)</v>
      </c>
      <c r="R12" s="31"/>
      <c r="S12" s="61" t="s">
        <v>78</v>
      </c>
      <c r="T12" s="194" t="s">
        <v>145</v>
      </c>
      <c r="U12" s="195"/>
      <c r="W12" s="18" t="s">
        <v>89</v>
      </c>
      <c r="X12" s="117" t="s">
        <v>44</v>
      </c>
      <c r="Y12" s="118" t="s">
        <v>136</v>
      </c>
      <c r="AA12" s="81" t="s">
        <v>63</v>
      </c>
      <c r="AB12" s="124"/>
      <c r="AC12" s="120"/>
      <c r="AD12" s="133"/>
      <c r="AE12" s="144"/>
      <c r="AF12" s="134"/>
      <c r="AG12" s="122"/>
      <c r="AH12" s="121"/>
      <c r="AI12" s="133"/>
      <c r="AJ12" s="119"/>
      <c r="AK12" s="135"/>
      <c r="AL12" s="122"/>
      <c r="AM12" s="122"/>
    </row>
    <row r="13" spans="9:40" ht="17" customHeight="1" thickBot="1">
      <c r="I13" s="2" t="s">
        <v>80</v>
      </c>
      <c r="J13" s="27" t="s">
        <v>43</v>
      </c>
      <c r="K13" s="27" t="s">
        <v>41</v>
      </c>
      <c r="L13" s="28">
        <f>L19/2</f>
        <v>10</v>
      </c>
      <c r="M13" s="30">
        <f>L13*$M$8</f>
        <v>80</v>
      </c>
      <c r="N13" s="35"/>
      <c r="O13" s="88" t="str">
        <f>I13</f>
        <v>SensiFAST Probe No-ROX Kit</v>
      </c>
      <c r="R13" s="31"/>
      <c r="S13" s="196" t="s">
        <v>160</v>
      </c>
      <c r="T13" s="196"/>
      <c r="U13" s="196"/>
      <c r="AA13" s="81" t="s">
        <v>64</v>
      </c>
      <c r="AB13" s="126"/>
      <c r="AC13" s="120"/>
      <c r="AD13" s="136"/>
      <c r="AE13" s="147"/>
      <c r="AF13" s="138"/>
      <c r="AG13" s="122"/>
      <c r="AH13" s="121"/>
      <c r="AI13" s="136"/>
      <c r="AJ13" s="137"/>
      <c r="AK13" s="138"/>
      <c r="AL13" s="122"/>
      <c r="AM13" s="122"/>
    </row>
    <row r="14" spans="9:40" ht="18" customHeight="1">
      <c r="I14" s="111" t="s">
        <v>79</v>
      </c>
      <c r="J14" s="27" t="s">
        <v>81</v>
      </c>
      <c r="K14" s="89" t="s">
        <v>169</v>
      </c>
      <c r="L14" s="28">
        <f>L19*1.5/10</f>
        <v>3</v>
      </c>
      <c r="M14" s="132">
        <f>L14*$M$8</f>
        <v>24</v>
      </c>
      <c r="N14" s="35"/>
      <c r="O14" s="131" t="str">
        <f>I14</f>
        <v>LC Green Plus</v>
      </c>
      <c r="R14" s="31"/>
      <c r="S14" s="185"/>
      <c r="T14" s="185"/>
      <c r="U14" s="185"/>
      <c r="AA14" s="19"/>
      <c r="AB14" s="43"/>
      <c r="AC14" s="43"/>
      <c r="AD14" s="43"/>
      <c r="AE14" s="43"/>
      <c r="AF14" s="43"/>
      <c r="AG14" s="43"/>
      <c r="AH14" s="43"/>
      <c r="AI14" s="43"/>
      <c r="AJ14" s="43"/>
      <c r="AK14" s="43"/>
      <c r="AL14" s="43"/>
      <c r="AM14" s="43"/>
    </row>
    <row r="15" spans="9:40" ht="18" customHeight="1" thickBot="1">
      <c r="I15" s="2"/>
      <c r="J15" s="27"/>
      <c r="K15" s="27"/>
      <c r="L15" s="38"/>
      <c r="M15" s="1"/>
      <c r="N15" s="150"/>
      <c r="O15" s="150"/>
      <c r="S15" s="185"/>
      <c r="T15" s="185"/>
      <c r="U15" s="185"/>
      <c r="W15" s="198" t="s">
        <v>139</v>
      </c>
      <c r="X15" s="191" t="s">
        <v>166</v>
      </c>
      <c r="Y15" s="191" t="s">
        <v>167</v>
      </c>
      <c r="AC15">
        <v>1</v>
      </c>
      <c r="AD15" t="s">
        <v>132</v>
      </c>
      <c r="AE15" s="42"/>
      <c r="AF15" s="42"/>
      <c r="AG15" s="42"/>
      <c r="AI15" s="19"/>
    </row>
    <row r="16" spans="9:40" ht="17" thickBot="1">
      <c r="I16" s="114" t="s">
        <v>134</v>
      </c>
      <c r="J16" s="110" t="s">
        <v>42</v>
      </c>
      <c r="K16" s="107">
        <v>0.125</v>
      </c>
      <c r="L16" s="115">
        <f>L19*K16/10</f>
        <v>0.25</v>
      </c>
      <c r="M16" s="116">
        <f>L16*$M$8</f>
        <v>2</v>
      </c>
      <c r="N16" s="114" t="s">
        <v>102</v>
      </c>
      <c r="W16" s="198"/>
      <c r="X16" s="191"/>
      <c r="Y16" s="191"/>
      <c r="AA16" s="112"/>
      <c r="AC16">
        <v>2</v>
      </c>
      <c r="AD16" t="s">
        <v>133</v>
      </c>
      <c r="AE16" s="42"/>
      <c r="AF16" s="42"/>
      <c r="AG16" s="42"/>
      <c r="AI16" s="19"/>
    </row>
    <row r="17" spans="9:35" ht="17" customHeight="1" thickBot="1">
      <c r="I17" s="151" t="s">
        <v>156</v>
      </c>
      <c r="J17" s="110" t="str">
        <f>J16</f>
        <v>10 uM</v>
      </c>
      <c r="K17" s="107">
        <v>0.5</v>
      </c>
      <c r="L17" s="152">
        <f>L19*K17/10</f>
        <v>1</v>
      </c>
      <c r="M17" s="153">
        <f>L17*$M$8</f>
        <v>8</v>
      </c>
      <c r="N17" s="151" t="s">
        <v>103</v>
      </c>
      <c r="S17" s="197" t="s">
        <v>147</v>
      </c>
      <c r="T17" s="197"/>
      <c r="U17" s="197"/>
      <c r="W17" s="139" t="s">
        <v>144</v>
      </c>
      <c r="X17" s="140">
        <v>2</v>
      </c>
      <c r="Y17" s="140">
        <v>8</v>
      </c>
      <c r="AC17">
        <v>3</v>
      </c>
      <c r="AD17" t="s">
        <v>122</v>
      </c>
      <c r="AE17" s="79"/>
    </row>
    <row r="18" spans="9:35" ht="16" customHeight="1">
      <c r="I18" s="37" t="s">
        <v>140</v>
      </c>
      <c r="J18" s="83" t="s">
        <v>99</v>
      </c>
      <c r="K18" s="82"/>
      <c r="L18" s="84">
        <v>2</v>
      </c>
      <c r="M18" s="85" t="s">
        <v>5</v>
      </c>
      <c r="N18" s="37" t="s">
        <v>49</v>
      </c>
      <c r="Q18" s="54"/>
      <c r="S18" s="192" t="s">
        <v>159</v>
      </c>
      <c r="T18" s="192"/>
      <c r="U18" s="192"/>
      <c r="AC18">
        <v>4</v>
      </c>
      <c r="AD18" s="19" t="s">
        <v>123</v>
      </c>
      <c r="AE18" s="19"/>
      <c r="AG18" s="79"/>
    </row>
    <row r="19" spans="9:35">
      <c r="K19" s="15" t="s">
        <v>8</v>
      </c>
      <c r="L19" s="16">
        <v>20</v>
      </c>
      <c r="M19" s="17"/>
      <c r="P19" s="54"/>
      <c r="S19" s="193"/>
      <c r="T19" s="193"/>
      <c r="U19" s="193"/>
      <c r="X19" s="42"/>
      <c r="Y19" s="42"/>
      <c r="Z19" s="42"/>
    </row>
    <row r="20" spans="9:35" ht="16" customHeight="1">
      <c r="K20" s="2" t="s">
        <v>7</v>
      </c>
      <c r="L20" s="128">
        <f>SUM(L10:L18)</f>
        <v>20</v>
      </c>
      <c r="M20" s="36">
        <f>SUM(M10:M16)</f>
        <v>136</v>
      </c>
      <c r="P20" s="40"/>
      <c r="S20" s="106"/>
      <c r="T20" s="106"/>
      <c r="U20" s="106"/>
      <c r="X20" s="42"/>
      <c r="Y20" s="42"/>
      <c r="Z20" s="42"/>
    </row>
    <row r="21" spans="9:35" ht="17" customHeight="1" thickBot="1">
      <c r="K21" s="5" t="s">
        <v>6</v>
      </c>
      <c r="L21" s="6"/>
      <c r="M21" s="127">
        <f>SUM(L10:L15)</f>
        <v>16.75</v>
      </c>
      <c r="P21" s="55"/>
      <c r="S21" s="106"/>
    </row>
    <row r="22" spans="9:35" ht="16" customHeight="1">
      <c r="O22" s="11"/>
      <c r="P22" s="40"/>
      <c r="X22" s="79"/>
      <c r="AD22" s="19"/>
      <c r="AE22" s="19"/>
      <c r="AG22" s="79"/>
    </row>
    <row r="23" spans="9:35">
      <c r="W23" s="19"/>
      <c r="X23" s="19"/>
      <c r="Z23" s="79"/>
      <c r="AA23" s="19"/>
      <c r="AB23" s="19"/>
      <c r="AC23" s="19"/>
      <c r="AD23" s="19"/>
      <c r="AE23" s="19"/>
      <c r="AF23" s="19"/>
      <c r="AG23" s="19"/>
      <c r="AH23" s="19"/>
      <c r="AI23" s="19"/>
    </row>
    <row r="24" spans="9:35">
      <c r="Q24" s="11"/>
      <c r="X24" s="19"/>
    </row>
    <row r="26" spans="9:35" ht="17" customHeight="1">
      <c r="I26" s="19"/>
      <c r="W26" s="48"/>
      <c r="X26" s="19"/>
    </row>
    <row r="27" spans="9:35">
      <c r="W27" s="19"/>
      <c r="X27" s="19"/>
    </row>
    <row r="28" spans="9:35" ht="16" customHeight="1">
      <c r="W28" s="19"/>
    </row>
    <row r="29" spans="9:35" ht="15" customHeight="1">
      <c r="K29" s="44"/>
      <c r="L29" s="129"/>
      <c r="M29" s="44"/>
      <c r="R29" s="31"/>
    </row>
    <row r="30" spans="9:35">
      <c r="K30" s="44"/>
      <c r="L30" s="44"/>
      <c r="M30" s="44"/>
      <c r="N30" s="44"/>
    </row>
    <row r="33" spans="9:18" ht="16" customHeight="1">
      <c r="I33" s="19"/>
    </row>
    <row r="34" spans="9:18" ht="17">
      <c r="I34" s="11" t="s">
        <v>1</v>
      </c>
      <c r="J34" s="11" t="s">
        <v>17</v>
      </c>
      <c r="K34" s="11" t="s">
        <v>18</v>
      </c>
      <c r="L34" s="11" t="s">
        <v>20</v>
      </c>
      <c r="M34" s="11" t="s">
        <v>19</v>
      </c>
      <c r="N34" s="11"/>
      <c r="O34" s="13" t="s">
        <v>16</v>
      </c>
      <c r="Q34" s="39" t="s">
        <v>14</v>
      </c>
      <c r="R34" s="11" t="s">
        <v>15</v>
      </c>
    </row>
    <row r="35" spans="9:18">
      <c r="I35" s="2" t="s">
        <v>104</v>
      </c>
      <c r="J35" s="1">
        <v>100</v>
      </c>
      <c r="K35" s="1">
        <v>50</v>
      </c>
      <c r="L35" s="1">
        <v>0.5</v>
      </c>
      <c r="M35" s="1">
        <f>L35*1000</f>
        <v>500</v>
      </c>
      <c r="N35" s="1"/>
      <c r="O35" s="1">
        <f>($L$19*L35)/K35</f>
        <v>0.2</v>
      </c>
      <c r="Q35" s="52"/>
      <c r="R35" s="12"/>
    </row>
    <row r="36" spans="9:18" ht="17">
      <c r="I36" s="2" t="s">
        <v>105</v>
      </c>
      <c r="J36" s="1">
        <v>100</v>
      </c>
      <c r="K36" s="1">
        <v>5</v>
      </c>
      <c r="L36" s="1">
        <v>0.05</v>
      </c>
      <c r="M36" s="1">
        <f t="shared" ref="M36" si="2">L36*1000</f>
        <v>50</v>
      </c>
      <c r="N36" s="1"/>
      <c r="O36" s="1">
        <f>($L$19*L36)/K36</f>
        <v>0.2</v>
      </c>
      <c r="P36" s="67"/>
      <c r="Q36" s="52"/>
      <c r="R36" s="12"/>
    </row>
    <row r="37" spans="9:18" ht="17">
      <c r="P37" s="74"/>
    </row>
    <row r="38" spans="9:18" ht="54">
      <c r="I38" s="67" t="s">
        <v>82</v>
      </c>
      <c r="J38" s="67" t="s">
        <v>83</v>
      </c>
      <c r="K38" s="67" t="s">
        <v>84</v>
      </c>
      <c r="L38" s="67" t="s">
        <v>85</v>
      </c>
      <c r="M38" s="67" t="s">
        <v>86</v>
      </c>
      <c r="N38" s="67" t="s">
        <v>87</v>
      </c>
      <c r="O38" s="67" t="s">
        <v>88</v>
      </c>
      <c r="P38" s="74"/>
      <c r="Q38" s="67"/>
      <c r="R38" s="67"/>
    </row>
    <row r="39" spans="9:18" ht="17">
      <c r="I39" s="68"/>
      <c r="J39" s="69"/>
      <c r="K39" s="70"/>
      <c r="L39" s="70"/>
      <c r="M39" s="71"/>
      <c r="N39" s="72"/>
      <c r="O39" s="74"/>
      <c r="Q39" s="74"/>
      <c r="R39" s="74"/>
    </row>
    <row r="40" spans="9:18" ht="17">
      <c r="I40" s="68"/>
      <c r="J40" s="73"/>
      <c r="K40" s="86"/>
      <c r="L40" s="86"/>
      <c r="M40" s="71"/>
      <c r="N40" s="68"/>
      <c r="O40" s="74"/>
      <c r="Q40" s="74"/>
      <c r="R40" s="74"/>
    </row>
    <row r="41" spans="9:18">
      <c r="I41" t="s">
        <v>98</v>
      </c>
    </row>
    <row r="42" spans="9:18">
      <c r="I42" t="s">
        <v>90</v>
      </c>
    </row>
    <row r="43" spans="9:18" ht="15" customHeight="1"/>
    <row r="44" spans="9:18" ht="15" customHeight="1">
      <c r="I44" t="s">
        <v>146</v>
      </c>
    </row>
    <row r="45" spans="9:18" ht="35" customHeight="1">
      <c r="I45" s="19" t="s">
        <v>124</v>
      </c>
    </row>
    <row r="46" spans="9:18" ht="33" customHeight="1">
      <c r="I46" s="19" t="s">
        <v>142</v>
      </c>
    </row>
    <row r="47" spans="9:18">
      <c r="I47" s="19" t="s">
        <v>130</v>
      </c>
    </row>
    <row r="48" spans="9:18">
      <c r="I48" s="19" t="s">
        <v>129</v>
      </c>
    </row>
    <row r="49" spans="9:15">
      <c r="I49" s="19" t="s">
        <v>131</v>
      </c>
    </row>
    <row r="50" spans="9:15">
      <c r="I50" s="19" t="s">
        <v>137</v>
      </c>
    </row>
    <row r="51" spans="9:15">
      <c r="I51" s="19" t="s">
        <v>138</v>
      </c>
      <c r="O51" s="141" t="s">
        <v>148</v>
      </c>
    </row>
    <row r="52" spans="9:15">
      <c r="I52" s="19" t="s">
        <v>125</v>
      </c>
      <c r="K52" t="s">
        <v>126</v>
      </c>
      <c r="N52" s="142"/>
      <c r="O52" s="130" t="s">
        <v>143</v>
      </c>
    </row>
    <row r="56" spans="9:15" ht="16" customHeight="1"/>
    <row r="63" spans="9:15" ht="16" customHeight="1"/>
    <row r="69" spans="8:8" ht="37" customHeight="1"/>
    <row r="75" spans="8:8">
      <c r="H75" s="14"/>
    </row>
    <row r="76" spans="8:8">
      <c r="H76" s="14"/>
    </row>
  </sheetData>
  <mergeCells count="16">
    <mergeCell ref="K4:K7"/>
    <mergeCell ref="AD4:AF4"/>
    <mergeCell ref="AI4:AK4"/>
    <mergeCell ref="S5:S6"/>
    <mergeCell ref="I6:J6"/>
    <mergeCell ref="I7:J7"/>
    <mergeCell ref="L7:M7"/>
    <mergeCell ref="Y15:Y16"/>
    <mergeCell ref="S17:U17"/>
    <mergeCell ref="S18:U19"/>
    <mergeCell ref="N9:O9"/>
    <mergeCell ref="T11:U11"/>
    <mergeCell ref="T12:U12"/>
    <mergeCell ref="S13:U15"/>
    <mergeCell ref="W15:W16"/>
    <mergeCell ref="X15:X16"/>
  </mergeCells>
  <pageMargins left="0.7" right="0.7" top="0.75" bottom="0.75" header="0.3" footer="0.3"/>
  <pageSetup scale="47"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EE6D-243C-D847-888C-D03499C8D160}">
  <sheetPr>
    <pageSetUpPr fitToPage="1"/>
  </sheetPr>
  <dimension ref="H1:AN76"/>
  <sheetViews>
    <sheetView zoomScale="106" zoomScaleNormal="160" workbookViewId="0">
      <selection activeCell="I30" sqref="I30"/>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45" customWidth="1"/>
    <col min="20" max="20" width="9.5" bestFit="1" customWidth="1"/>
    <col min="21" max="21" width="12.6640625" bestFit="1" customWidth="1"/>
    <col min="22" max="22" width="7.33203125" customWidth="1"/>
    <col min="23" max="23" width="11.6640625" customWidth="1"/>
    <col min="24" max="24" width="19" customWidth="1"/>
    <col min="25" max="25" width="17.6640625" customWidth="1"/>
    <col min="26" max="26" width="5.1640625" customWidth="1"/>
    <col min="27" max="27" width="4.33203125" customWidth="1"/>
    <col min="28" max="33" width="3.83203125" customWidth="1"/>
    <col min="34" max="35" width="3.6640625" bestFit="1" customWidth="1"/>
    <col min="36" max="36" width="3.83203125" customWidth="1"/>
    <col min="37" max="37" width="4" customWidth="1"/>
    <col min="38" max="38" width="4.6640625" customWidth="1"/>
    <col min="39" max="39" width="3.83203125" customWidth="1"/>
    <col min="40" max="40" width="10.5" bestFit="1" customWidth="1"/>
    <col min="41" max="41" width="14.1640625" customWidth="1"/>
    <col min="42" max="42" width="14.33203125" customWidth="1"/>
    <col min="43" max="43" width="3.83203125" customWidth="1"/>
    <col min="44" max="44" width="3.33203125" customWidth="1"/>
    <col min="45" max="45" width="2.83203125" customWidth="1"/>
    <col min="46" max="46" width="4.1640625" customWidth="1"/>
    <col min="47" max="47" width="5.6640625" customWidth="1"/>
    <col min="48" max="48" width="3.1640625" bestFit="1" customWidth="1"/>
  </cols>
  <sheetData>
    <row r="1" spans="9:40" ht="16" customHeight="1"/>
    <row r="2" spans="9:40" ht="17" customHeight="1" thickBot="1"/>
    <row r="3" spans="9:40" ht="17" customHeight="1" thickBot="1">
      <c r="I3" s="7"/>
      <c r="J3" s="33" t="s">
        <v>151</v>
      </c>
      <c r="K3" s="48"/>
    </row>
    <row r="4" spans="9:40" ht="17" customHeight="1" thickBot="1">
      <c r="I4" s="7" t="s">
        <v>0</v>
      </c>
      <c r="J4" s="3">
        <v>45726</v>
      </c>
      <c r="K4" s="177" t="s">
        <v>170</v>
      </c>
      <c r="S4" t="s">
        <v>158</v>
      </c>
      <c r="AA4" s="11" t="s">
        <v>150</v>
      </c>
      <c r="AC4" s="32"/>
      <c r="AD4" s="179" t="s">
        <v>149</v>
      </c>
      <c r="AE4" s="180"/>
      <c r="AF4" s="181"/>
      <c r="AG4" s="48"/>
      <c r="AH4" s="48"/>
      <c r="AI4" s="182" t="s">
        <v>161</v>
      </c>
      <c r="AJ4" s="183"/>
      <c r="AK4" s="184"/>
    </row>
    <row r="5" spans="9:40" ht="17" customHeight="1" thickBot="1">
      <c r="K5" s="178"/>
      <c r="L5" s="7" t="s">
        <v>2</v>
      </c>
      <c r="M5" s="4">
        <v>6</v>
      </c>
      <c r="S5" s="185" t="s">
        <v>96</v>
      </c>
      <c r="W5" s="93" t="s">
        <v>118</v>
      </c>
      <c r="X5" s="90" t="s">
        <v>115</v>
      </c>
      <c r="Y5" s="90" t="s">
        <v>113</v>
      </c>
      <c r="AA5" s="51"/>
      <c r="AB5" s="125">
        <v>1</v>
      </c>
      <c r="AC5" s="148">
        <v>2</v>
      </c>
      <c r="AD5" s="145">
        <v>3</v>
      </c>
      <c r="AE5" s="143">
        <v>4</v>
      </c>
      <c r="AF5" s="146">
        <v>5</v>
      </c>
      <c r="AG5" s="149">
        <v>6</v>
      </c>
      <c r="AH5" s="148">
        <v>7</v>
      </c>
      <c r="AI5" s="145">
        <v>8</v>
      </c>
      <c r="AJ5" s="143">
        <v>9</v>
      </c>
      <c r="AK5" s="146">
        <v>10</v>
      </c>
      <c r="AL5" s="149">
        <v>11</v>
      </c>
      <c r="AM5" s="80">
        <v>12</v>
      </c>
    </row>
    <row r="6" spans="9:40" ht="17" customHeight="1" thickBot="1">
      <c r="I6" s="169" t="s">
        <v>74</v>
      </c>
      <c r="J6" s="170"/>
      <c r="K6" s="178"/>
      <c r="S6" s="186"/>
      <c r="T6" s="56" t="s">
        <v>9</v>
      </c>
      <c r="U6" s="56" t="s">
        <v>10</v>
      </c>
      <c r="W6" s="18" t="s">
        <v>89</v>
      </c>
      <c r="X6" s="94" t="s">
        <v>114</v>
      </c>
      <c r="Y6" s="95">
        <v>399</v>
      </c>
      <c r="AA6" s="81" t="s">
        <v>57</v>
      </c>
      <c r="AB6" s="120"/>
      <c r="AC6" s="120"/>
      <c r="AD6" s="133"/>
      <c r="AE6" s="119"/>
      <c r="AF6" s="134"/>
      <c r="AG6" s="122"/>
      <c r="AH6" s="120"/>
      <c r="AI6" s="133"/>
      <c r="AJ6" s="119"/>
      <c r="AK6" s="134"/>
      <c r="AL6" s="122"/>
      <c r="AM6" s="122"/>
    </row>
    <row r="7" spans="9:40" ht="17" thickBot="1">
      <c r="I7" s="171"/>
      <c r="J7" s="172"/>
      <c r="K7" s="178"/>
      <c r="L7" s="173" t="s">
        <v>3</v>
      </c>
      <c r="M7" s="174"/>
      <c r="R7" s="34"/>
      <c r="S7" s="57" t="s">
        <v>65</v>
      </c>
      <c r="T7" s="58">
        <v>95</v>
      </c>
      <c r="U7" s="59">
        <v>8.3333333333333329E-2</v>
      </c>
      <c r="W7" s="18" t="s">
        <v>119</v>
      </c>
      <c r="X7" s="96" t="s">
        <v>108</v>
      </c>
      <c r="Y7" s="97">
        <v>478</v>
      </c>
      <c r="AA7" s="81" t="s">
        <v>58</v>
      </c>
      <c r="AB7" s="120"/>
      <c r="AC7" s="120"/>
      <c r="AD7" s="154"/>
      <c r="AE7" s="144"/>
      <c r="AF7" s="135"/>
      <c r="AG7" s="123"/>
      <c r="AH7" s="121"/>
      <c r="AI7" s="154"/>
      <c r="AJ7" s="144"/>
      <c r="AK7" s="135"/>
      <c r="AL7" s="122"/>
      <c r="AM7" s="122"/>
    </row>
    <row r="8" spans="9:40" ht="18" customHeight="1" thickBot="1">
      <c r="K8" t="s">
        <v>7</v>
      </c>
      <c r="L8" s="5">
        <v>1</v>
      </c>
      <c r="M8" s="10">
        <v>8</v>
      </c>
      <c r="S8" s="62" t="s">
        <v>46</v>
      </c>
      <c r="T8" s="1">
        <v>95</v>
      </c>
      <c r="U8" s="63">
        <v>6.9444444444444441E-3</v>
      </c>
      <c r="W8" s="18" t="s">
        <v>120</v>
      </c>
      <c r="X8" s="98" t="s">
        <v>109</v>
      </c>
      <c r="Y8" s="99">
        <v>479</v>
      </c>
      <c r="AA8" s="81" t="s">
        <v>59</v>
      </c>
      <c r="AB8" s="121"/>
      <c r="AC8" s="120"/>
      <c r="AD8" s="155"/>
      <c r="AE8" s="156"/>
      <c r="AF8" s="157"/>
      <c r="AG8" s="122"/>
      <c r="AH8" s="120"/>
      <c r="AI8" s="158"/>
      <c r="AJ8" s="159"/>
      <c r="AK8" s="160"/>
      <c r="AL8" s="123"/>
      <c r="AM8" s="123"/>
      <c r="AN8" s="161" t="s">
        <v>163</v>
      </c>
    </row>
    <row r="9" spans="9:40" ht="18" customHeight="1" thickBot="1">
      <c r="I9" s="8" t="s">
        <v>1</v>
      </c>
      <c r="J9" s="9" t="s">
        <v>21</v>
      </c>
      <c r="K9" s="9" t="s">
        <v>39</v>
      </c>
      <c r="L9" s="9" t="s">
        <v>12</v>
      </c>
      <c r="M9" s="29" t="s">
        <v>13</v>
      </c>
      <c r="N9" s="187" t="s">
        <v>40</v>
      </c>
      <c r="O9" s="188"/>
      <c r="Q9" s="40"/>
      <c r="S9" s="64" t="s">
        <v>47</v>
      </c>
      <c r="T9" s="75">
        <v>61</v>
      </c>
      <c r="U9" s="63">
        <v>3.4722222222222224E-2</v>
      </c>
      <c r="W9" s="18" t="s">
        <v>120</v>
      </c>
      <c r="X9" s="100" t="s">
        <v>110</v>
      </c>
      <c r="Y9" s="101">
        <v>480</v>
      </c>
      <c r="AA9" s="81" t="s">
        <v>60</v>
      </c>
      <c r="AB9" s="121"/>
      <c r="AC9" s="120"/>
      <c r="AD9" s="162"/>
      <c r="AE9" s="163"/>
      <c r="AF9" s="164"/>
      <c r="AG9" s="123"/>
      <c r="AH9" s="121"/>
      <c r="AI9" s="162"/>
      <c r="AJ9" s="163"/>
      <c r="AK9" s="164"/>
      <c r="AL9" s="123"/>
      <c r="AM9" s="123"/>
      <c r="AN9" s="165" t="s">
        <v>164</v>
      </c>
    </row>
    <row r="10" spans="9:40" ht="18" customHeight="1" thickBot="1">
      <c r="I10" s="2" t="s">
        <v>4</v>
      </c>
      <c r="J10" s="1"/>
      <c r="K10" s="1"/>
      <c r="L10" s="109">
        <f>L19-SUM(L11:L18)</f>
        <v>4.3499999999999996</v>
      </c>
      <c r="M10" s="108">
        <f>L10*$M$8</f>
        <v>34.799999999999997</v>
      </c>
      <c r="N10" s="35"/>
      <c r="O10" s="87" t="str">
        <f>I10</f>
        <v>Nuclease-free water</v>
      </c>
      <c r="R10" s="31"/>
      <c r="S10" s="65" t="s">
        <v>11</v>
      </c>
      <c r="T10" s="91">
        <v>40</v>
      </c>
      <c r="U10" s="66"/>
      <c r="W10" s="18" t="s">
        <v>120</v>
      </c>
      <c r="X10" s="102" t="s">
        <v>111</v>
      </c>
      <c r="Y10" s="103">
        <v>481</v>
      </c>
      <c r="AA10" s="81" t="s">
        <v>61</v>
      </c>
      <c r="AB10" s="120"/>
      <c r="AC10" s="120"/>
      <c r="AD10" s="166"/>
      <c r="AE10" s="167"/>
      <c r="AF10" s="168"/>
      <c r="AG10" s="123"/>
      <c r="AH10" s="121"/>
      <c r="AI10" s="166"/>
      <c r="AJ10" s="167"/>
      <c r="AK10" s="168"/>
      <c r="AL10" s="122"/>
      <c r="AM10" s="122"/>
      <c r="AN10" s="41" t="s">
        <v>165</v>
      </c>
    </row>
    <row r="11" spans="9:40" ht="18" customHeight="1" thickBot="1">
      <c r="I11" s="2" t="s">
        <v>100</v>
      </c>
      <c r="J11" s="113" t="s">
        <v>116</v>
      </c>
      <c r="K11" s="92">
        <f>L35</f>
        <v>0.5</v>
      </c>
      <c r="L11" s="28">
        <f>L19*L35/K35</f>
        <v>0.2</v>
      </c>
      <c r="M11" s="30">
        <f t="shared" ref="M11:M12" si="0">L11*$M$8</f>
        <v>1.6</v>
      </c>
      <c r="N11" s="35"/>
      <c r="O11" s="88" t="str">
        <f t="shared" ref="O11:O12" si="1">I11</f>
        <v>rpoB F Primer (MEP409)</v>
      </c>
      <c r="S11" s="60" t="s">
        <v>107</v>
      </c>
      <c r="T11" s="189" t="s">
        <v>77</v>
      </c>
      <c r="U11" s="190"/>
      <c r="W11" s="18" t="s">
        <v>121</v>
      </c>
      <c r="X11" s="104" t="s">
        <v>112</v>
      </c>
      <c r="Y11" s="105">
        <v>482</v>
      </c>
      <c r="AA11" s="81" t="s">
        <v>62</v>
      </c>
      <c r="AB11" s="120"/>
      <c r="AC11" s="120"/>
      <c r="AD11" s="154"/>
      <c r="AE11" s="144"/>
      <c r="AF11" s="135"/>
      <c r="AG11" s="123"/>
      <c r="AH11" s="121"/>
      <c r="AI11" s="154"/>
      <c r="AJ11" s="144"/>
      <c r="AK11" s="135"/>
      <c r="AL11" s="122"/>
      <c r="AM11" s="122"/>
    </row>
    <row r="12" spans="9:40" ht="18" customHeight="1" thickBot="1">
      <c r="I12" s="2" t="s">
        <v>101</v>
      </c>
      <c r="J12" s="113" t="s">
        <v>117</v>
      </c>
      <c r="K12" s="92">
        <f>L36</f>
        <v>0.05</v>
      </c>
      <c r="L12" s="28">
        <f>L19*L36/K36</f>
        <v>0.2</v>
      </c>
      <c r="M12" s="30">
        <f t="shared" si="0"/>
        <v>1.6</v>
      </c>
      <c r="N12" s="35"/>
      <c r="O12" s="88" t="str">
        <f t="shared" si="1"/>
        <v>rpoB R Primer (MEP410)</v>
      </c>
      <c r="R12" s="31"/>
      <c r="S12" s="61" t="s">
        <v>78</v>
      </c>
      <c r="T12" s="194" t="s">
        <v>145</v>
      </c>
      <c r="U12" s="195"/>
      <c r="W12" s="18" t="s">
        <v>89</v>
      </c>
      <c r="X12" s="117" t="s">
        <v>44</v>
      </c>
      <c r="Y12" s="118" t="s">
        <v>136</v>
      </c>
      <c r="AA12" s="81" t="s">
        <v>63</v>
      </c>
      <c r="AB12" s="124"/>
      <c r="AC12" s="120"/>
      <c r="AD12" s="133"/>
      <c r="AE12" s="144"/>
      <c r="AF12" s="134"/>
      <c r="AG12" s="122"/>
      <c r="AH12" s="121"/>
      <c r="AI12" s="133"/>
      <c r="AJ12" s="119"/>
      <c r="AK12" s="135"/>
      <c r="AL12" s="122"/>
      <c r="AM12" s="122"/>
    </row>
    <row r="13" spans="9:40" ht="17" customHeight="1" thickBot="1">
      <c r="I13" s="2" t="s">
        <v>80</v>
      </c>
      <c r="J13" s="27" t="s">
        <v>43</v>
      </c>
      <c r="K13" s="27" t="s">
        <v>41</v>
      </c>
      <c r="L13" s="28">
        <f>L19/2</f>
        <v>10</v>
      </c>
      <c r="M13" s="30">
        <f>L13*$M$8</f>
        <v>80</v>
      </c>
      <c r="N13" s="35"/>
      <c r="O13" s="88" t="str">
        <f>I13</f>
        <v>SensiFAST Probe No-ROX Kit</v>
      </c>
      <c r="R13" s="31"/>
      <c r="S13" s="196" t="s">
        <v>160</v>
      </c>
      <c r="T13" s="196"/>
      <c r="U13" s="196"/>
      <c r="AA13" s="81" t="s">
        <v>64</v>
      </c>
      <c r="AB13" s="126"/>
      <c r="AC13" s="120"/>
      <c r="AD13" s="136"/>
      <c r="AE13" s="147"/>
      <c r="AF13" s="138"/>
      <c r="AG13" s="122"/>
      <c r="AH13" s="121"/>
      <c r="AI13" s="136"/>
      <c r="AJ13" s="137"/>
      <c r="AK13" s="138"/>
      <c r="AL13" s="122"/>
      <c r="AM13" s="122"/>
    </row>
    <row r="14" spans="9:40" ht="18" customHeight="1">
      <c r="I14" s="111" t="s">
        <v>79</v>
      </c>
      <c r="J14" s="27" t="s">
        <v>81</v>
      </c>
      <c r="K14" s="89" t="s">
        <v>41</v>
      </c>
      <c r="L14" s="28">
        <f>L19*1/10</f>
        <v>2</v>
      </c>
      <c r="M14" s="132">
        <f>L14*$M$8</f>
        <v>16</v>
      </c>
      <c r="N14" s="35"/>
      <c r="O14" s="131" t="str">
        <f>I14</f>
        <v>LC Green Plus</v>
      </c>
      <c r="R14" s="31"/>
      <c r="S14" s="185"/>
      <c r="T14" s="185"/>
      <c r="U14" s="185"/>
      <c r="AA14" s="19"/>
      <c r="AB14" s="43"/>
      <c r="AC14" s="43"/>
      <c r="AD14" s="43"/>
      <c r="AE14" s="43"/>
      <c r="AF14" s="43"/>
      <c r="AG14" s="43"/>
      <c r="AH14" s="43"/>
      <c r="AI14" s="43"/>
      <c r="AJ14" s="43"/>
      <c r="AK14" s="43"/>
      <c r="AL14" s="43"/>
      <c r="AM14" s="43"/>
    </row>
    <row r="15" spans="9:40" ht="18" customHeight="1" thickBot="1">
      <c r="I15" s="2"/>
      <c r="J15" s="27"/>
      <c r="K15" s="27"/>
      <c r="L15" s="38"/>
      <c r="M15" s="1"/>
      <c r="N15" s="150"/>
      <c r="O15" s="150"/>
      <c r="S15" s="185"/>
      <c r="T15" s="185"/>
      <c r="U15" s="185"/>
      <c r="W15" s="198" t="s">
        <v>139</v>
      </c>
      <c r="X15" s="191" t="s">
        <v>166</v>
      </c>
      <c r="Y15" s="191" t="s">
        <v>167</v>
      </c>
      <c r="AC15">
        <v>1</v>
      </c>
      <c r="AD15" t="s">
        <v>132</v>
      </c>
      <c r="AE15" s="42"/>
      <c r="AF15" s="42"/>
      <c r="AG15" s="42"/>
      <c r="AI15" s="19"/>
    </row>
    <row r="16" spans="9:40" ht="17" thickBot="1">
      <c r="I16" s="114" t="s">
        <v>134</v>
      </c>
      <c r="J16" s="110" t="s">
        <v>42</v>
      </c>
      <c r="K16" s="107">
        <v>0.125</v>
      </c>
      <c r="L16" s="115">
        <f>L19*K16/10</f>
        <v>0.25</v>
      </c>
      <c r="M16" s="116">
        <f>L16*$M$8</f>
        <v>2</v>
      </c>
      <c r="N16" s="114" t="s">
        <v>102</v>
      </c>
      <c r="W16" s="198"/>
      <c r="X16" s="191"/>
      <c r="Y16" s="191"/>
      <c r="AA16" s="112"/>
      <c r="AC16">
        <v>2</v>
      </c>
      <c r="AD16" t="s">
        <v>133</v>
      </c>
      <c r="AE16" s="42"/>
      <c r="AF16" s="42"/>
      <c r="AG16" s="42"/>
      <c r="AI16" s="19"/>
    </row>
    <row r="17" spans="9:35" ht="17" customHeight="1" thickBot="1">
      <c r="I17" s="151" t="s">
        <v>156</v>
      </c>
      <c r="J17" s="110" t="str">
        <f>J16</f>
        <v>10 uM</v>
      </c>
      <c r="K17" s="107">
        <v>0.5</v>
      </c>
      <c r="L17" s="152">
        <f>L19*K17/10</f>
        <v>1</v>
      </c>
      <c r="M17" s="153">
        <f>L17*$M$8</f>
        <v>8</v>
      </c>
      <c r="N17" s="151" t="s">
        <v>103</v>
      </c>
      <c r="S17" s="197" t="s">
        <v>147</v>
      </c>
      <c r="T17" s="197"/>
      <c r="U17" s="197"/>
      <c r="W17" s="139" t="s">
        <v>144</v>
      </c>
      <c r="X17" s="140">
        <v>2</v>
      </c>
      <c r="Y17" s="140">
        <v>8</v>
      </c>
      <c r="AC17">
        <v>3</v>
      </c>
      <c r="AD17" t="s">
        <v>122</v>
      </c>
      <c r="AE17" s="79"/>
    </row>
    <row r="18" spans="9:35" ht="16" customHeight="1">
      <c r="I18" s="37" t="s">
        <v>140</v>
      </c>
      <c r="J18" s="83" t="s">
        <v>99</v>
      </c>
      <c r="K18" s="82"/>
      <c r="L18" s="84">
        <v>2</v>
      </c>
      <c r="M18" s="85" t="s">
        <v>5</v>
      </c>
      <c r="N18" s="37" t="s">
        <v>49</v>
      </c>
      <c r="Q18" s="54"/>
      <c r="S18" s="192" t="s">
        <v>159</v>
      </c>
      <c r="T18" s="192"/>
      <c r="U18" s="192"/>
      <c r="AC18">
        <v>4</v>
      </c>
      <c r="AD18" s="19" t="s">
        <v>123</v>
      </c>
      <c r="AE18" s="19"/>
      <c r="AG18" s="79"/>
    </row>
    <row r="19" spans="9:35">
      <c r="K19" s="15" t="s">
        <v>8</v>
      </c>
      <c r="L19" s="16">
        <v>20</v>
      </c>
      <c r="M19" s="17"/>
      <c r="P19" s="54"/>
      <c r="S19" s="193"/>
      <c r="T19" s="193"/>
      <c r="U19" s="193"/>
      <c r="X19" s="42"/>
      <c r="Y19" s="42"/>
      <c r="Z19" s="42"/>
    </row>
    <row r="20" spans="9:35" ht="16" customHeight="1">
      <c r="K20" s="2" t="s">
        <v>7</v>
      </c>
      <c r="L20" s="128">
        <f>SUM(L10:L18)</f>
        <v>20</v>
      </c>
      <c r="M20" s="36">
        <f>SUM(M10:M16)</f>
        <v>136</v>
      </c>
      <c r="P20" s="40"/>
      <c r="S20" s="106"/>
      <c r="T20" s="106"/>
      <c r="U20" s="106"/>
      <c r="X20" s="42"/>
      <c r="Y20" s="42"/>
      <c r="Z20" s="42"/>
    </row>
    <row r="21" spans="9:35" ht="17" customHeight="1" thickBot="1">
      <c r="K21" s="5" t="s">
        <v>6</v>
      </c>
      <c r="L21" s="6"/>
      <c r="M21" s="127">
        <f>SUM(L10:L15)</f>
        <v>16.75</v>
      </c>
      <c r="P21" s="55"/>
      <c r="S21" s="106"/>
    </row>
    <row r="22" spans="9:35" ht="16" customHeight="1">
      <c r="O22" s="11"/>
      <c r="P22" s="40"/>
      <c r="X22" s="79"/>
      <c r="AD22" s="19"/>
      <c r="AE22" s="19"/>
      <c r="AG22" s="79"/>
    </row>
    <row r="23" spans="9:35">
      <c r="W23" s="19"/>
      <c r="X23" s="19"/>
      <c r="Z23" s="79"/>
      <c r="AA23" s="19"/>
      <c r="AB23" s="19"/>
      <c r="AC23" s="19"/>
      <c r="AD23" s="19"/>
      <c r="AE23" s="19"/>
      <c r="AF23" s="19"/>
      <c r="AG23" s="19"/>
      <c r="AH23" s="19"/>
      <c r="AI23" s="19"/>
    </row>
    <row r="24" spans="9:35">
      <c r="Q24" s="11"/>
      <c r="X24" s="19"/>
    </row>
    <row r="26" spans="9:35" ht="17" customHeight="1">
      <c r="I26" s="19"/>
      <c r="W26" s="48"/>
      <c r="X26" s="19"/>
    </row>
    <row r="27" spans="9:35">
      <c r="W27" s="19"/>
      <c r="X27" s="19"/>
    </row>
    <row r="28" spans="9:35" ht="16" customHeight="1">
      <c r="W28" s="19"/>
    </row>
    <row r="29" spans="9:35" ht="15" customHeight="1">
      <c r="K29" s="44"/>
      <c r="L29" s="129"/>
      <c r="M29" s="44"/>
      <c r="R29" s="31"/>
    </row>
    <row r="30" spans="9:35">
      <c r="K30" s="44"/>
      <c r="L30" s="44"/>
      <c r="M30" s="44"/>
      <c r="N30" s="44"/>
    </row>
    <row r="33" spans="9:18" ht="16" customHeight="1">
      <c r="I33" s="19"/>
    </row>
    <row r="34" spans="9:18" ht="17">
      <c r="I34" s="11" t="s">
        <v>1</v>
      </c>
      <c r="J34" s="11" t="s">
        <v>17</v>
      </c>
      <c r="K34" s="11" t="s">
        <v>18</v>
      </c>
      <c r="L34" s="11" t="s">
        <v>20</v>
      </c>
      <c r="M34" s="11" t="s">
        <v>19</v>
      </c>
      <c r="N34" s="11"/>
      <c r="O34" s="13" t="s">
        <v>16</v>
      </c>
      <c r="Q34" s="39" t="s">
        <v>14</v>
      </c>
      <c r="R34" s="11" t="s">
        <v>15</v>
      </c>
    </row>
    <row r="35" spans="9:18">
      <c r="I35" s="2" t="s">
        <v>104</v>
      </c>
      <c r="J35" s="1">
        <v>100</v>
      </c>
      <c r="K35" s="1">
        <v>50</v>
      </c>
      <c r="L35" s="1">
        <v>0.5</v>
      </c>
      <c r="M35" s="1">
        <f>L35*1000</f>
        <v>500</v>
      </c>
      <c r="N35" s="1"/>
      <c r="O35" s="1">
        <f>($L$19*L35)/K35</f>
        <v>0.2</v>
      </c>
      <c r="Q35" s="52"/>
      <c r="R35" s="12"/>
    </row>
    <row r="36" spans="9:18" ht="17">
      <c r="I36" s="2" t="s">
        <v>105</v>
      </c>
      <c r="J36" s="1">
        <v>100</v>
      </c>
      <c r="K36" s="1">
        <v>5</v>
      </c>
      <c r="L36" s="1">
        <v>0.05</v>
      </c>
      <c r="M36" s="1">
        <f t="shared" ref="M36" si="2">L36*1000</f>
        <v>50</v>
      </c>
      <c r="N36" s="1"/>
      <c r="O36" s="1">
        <f>($L$19*L36)/K36</f>
        <v>0.2</v>
      </c>
      <c r="P36" s="67"/>
      <c r="Q36" s="52"/>
      <c r="R36" s="12"/>
    </row>
    <row r="37" spans="9:18" ht="17">
      <c r="P37" s="74"/>
    </row>
    <row r="38" spans="9:18" ht="54">
      <c r="I38" s="67" t="s">
        <v>82</v>
      </c>
      <c r="J38" s="67" t="s">
        <v>83</v>
      </c>
      <c r="K38" s="67" t="s">
        <v>84</v>
      </c>
      <c r="L38" s="67" t="s">
        <v>85</v>
      </c>
      <c r="M38" s="67" t="s">
        <v>86</v>
      </c>
      <c r="N38" s="67" t="s">
        <v>87</v>
      </c>
      <c r="O38" s="67" t="s">
        <v>88</v>
      </c>
      <c r="P38" s="74"/>
      <c r="Q38" s="67"/>
      <c r="R38" s="67"/>
    </row>
    <row r="39" spans="9:18" ht="17">
      <c r="I39" s="68"/>
      <c r="J39" s="69"/>
      <c r="K39" s="70"/>
      <c r="L39" s="70"/>
      <c r="M39" s="71"/>
      <c r="N39" s="72"/>
      <c r="O39" s="74"/>
      <c r="Q39" s="74"/>
      <c r="R39" s="74"/>
    </row>
    <row r="40" spans="9:18" ht="17">
      <c r="I40" s="68"/>
      <c r="J40" s="73"/>
      <c r="K40" s="86"/>
      <c r="L40" s="86"/>
      <c r="M40" s="71"/>
      <c r="N40" s="68"/>
      <c r="O40" s="74"/>
      <c r="Q40" s="74"/>
      <c r="R40" s="74"/>
    </row>
    <row r="41" spans="9:18">
      <c r="I41" t="s">
        <v>98</v>
      </c>
    </row>
    <row r="42" spans="9:18">
      <c r="I42" t="s">
        <v>90</v>
      </c>
    </row>
    <row r="43" spans="9:18" ht="15" customHeight="1"/>
    <row r="44" spans="9:18" ht="15" customHeight="1">
      <c r="I44" t="s">
        <v>146</v>
      </c>
    </row>
    <row r="45" spans="9:18" ht="35" customHeight="1">
      <c r="I45" s="19" t="s">
        <v>124</v>
      </c>
    </row>
    <row r="46" spans="9:18" ht="33" customHeight="1">
      <c r="I46" s="19" t="s">
        <v>142</v>
      </c>
    </row>
    <row r="47" spans="9:18">
      <c r="I47" s="19" t="s">
        <v>130</v>
      </c>
    </row>
    <row r="48" spans="9:18">
      <c r="I48" s="19" t="s">
        <v>129</v>
      </c>
    </row>
    <row r="49" spans="9:15">
      <c r="I49" s="19" t="s">
        <v>131</v>
      </c>
    </row>
    <row r="50" spans="9:15">
      <c r="I50" s="19" t="s">
        <v>137</v>
      </c>
    </row>
    <row r="51" spans="9:15">
      <c r="I51" s="19" t="s">
        <v>138</v>
      </c>
      <c r="O51" s="141" t="s">
        <v>148</v>
      </c>
    </row>
    <row r="52" spans="9:15">
      <c r="I52" s="19" t="s">
        <v>125</v>
      </c>
      <c r="K52" t="s">
        <v>126</v>
      </c>
      <c r="N52" s="142"/>
      <c r="O52" s="130" t="s">
        <v>143</v>
      </c>
    </row>
    <row r="56" spans="9:15" ht="16" customHeight="1"/>
    <row r="63" spans="9:15" ht="16" customHeight="1"/>
    <row r="69" spans="8:8" ht="37" customHeight="1"/>
    <row r="75" spans="8:8">
      <c r="H75" s="14"/>
    </row>
    <row r="76" spans="8:8">
      <c r="H76" s="14"/>
    </row>
  </sheetData>
  <mergeCells count="16">
    <mergeCell ref="K4:K7"/>
    <mergeCell ref="AD4:AF4"/>
    <mergeCell ref="AI4:AK4"/>
    <mergeCell ref="S5:S6"/>
    <mergeCell ref="I6:J6"/>
    <mergeCell ref="I7:J7"/>
    <mergeCell ref="L7:M7"/>
    <mergeCell ref="Y15:Y16"/>
    <mergeCell ref="S17:U17"/>
    <mergeCell ref="S18:U19"/>
    <mergeCell ref="N9:O9"/>
    <mergeCell ref="T11:U11"/>
    <mergeCell ref="T12:U12"/>
    <mergeCell ref="S13:U15"/>
    <mergeCell ref="W15:W16"/>
    <mergeCell ref="X15:X16"/>
  </mergeCells>
  <pageMargins left="0.7" right="0.7" top="0.75" bottom="0.75" header="0.3" footer="0.3"/>
  <pageSetup scale="41"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fitToPage="1"/>
  </sheetPr>
  <dimension ref="B2:I47"/>
  <sheetViews>
    <sheetView tabSelected="1" topLeftCell="A12" workbookViewId="0">
      <selection activeCell="H29" sqref="H29:I33"/>
    </sheetView>
  </sheetViews>
  <sheetFormatPr baseColWidth="10" defaultColWidth="11" defaultRowHeight="16"/>
  <cols>
    <col min="2" max="2" width="3.1640625" customWidth="1"/>
    <col min="3" max="3" width="58.5" bestFit="1" customWidth="1"/>
    <col min="5" max="5" width="3.1640625" bestFit="1" customWidth="1"/>
    <col min="6" max="6" width="56.5" customWidth="1"/>
    <col min="8" max="8" width="3.1640625" customWidth="1"/>
    <col min="9" max="9" width="58.5" customWidth="1"/>
  </cols>
  <sheetData>
    <row r="2" spans="2:3" ht="17" thickBot="1">
      <c r="B2" s="19" t="s">
        <v>22</v>
      </c>
      <c r="C2" s="19"/>
    </row>
    <row r="3" spans="2:3">
      <c r="B3" s="20"/>
      <c r="C3" s="25" t="s">
        <v>23</v>
      </c>
    </row>
    <row r="4" spans="2:3">
      <c r="B4" s="21">
        <v>1</v>
      </c>
      <c r="C4" s="22" t="s">
        <v>24</v>
      </c>
    </row>
    <row r="5" spans="2:3">
      <c r="B5" s="21">
        <v>2</v>
      </c>
      <c r="C5" s="22" t="s">
        <v>25</v>
      </c>
    </row>
    <row r="6" spans="2:3">
      <c r="B6" s="21">
        <v>3</v>
      </c>
      <c r="C6" s="22" t="s">
        <v>26</v>
      </c>
    </row>
    <row r="7" spans="2:3">
      <c r="B7" s="21">
        <v>4</v>
      </c>
      <c r="C7" s="22" t="s">
        <v>27</v>
      </c>
    </row>
    <row r="8" spans="2:3">
      <c r="B8" s="21">
        <v>5</v>
      </c>
      <c r="C8" s="22" t="s">
        <v>28</v>
      </c>
    </row>
    <row r="9" spans="2:3">
      <c r="B9" s="21">
        <v>6</v>
      </c>
      <c r="C9" s="22" t="s">
        <v>29</v>
      </c>
    </row>
    <row r="10" spans="2:3">
      <c r="B10" s="21">
        <v>7</v>
      </c>
      <c r="C10" s="22" t="s">
        <v>30</v>
      </c>
    </row>
    <row r="11" spans="2:3">
      <c r="B11" s="21">
        <v>8</v>
      </c>
      <c r="C11" s="22" t="s">
        <v>28</v>
      </c>
    </row>
    <row r="12" spans="2:3">
      <c r="B12" s="21">
        <v>9</v>
      </c>
      <c r="C12" s="22" t="s">
        <v>29</v>
      </c>
    </row>
    <row r="13" spans="2:3">
      <c r="B13" s="21">
        <v>10</v>
      </c>
      <c r="C13" s="22" t="s">
        <v>31</v>
      </c>
    </row>
    <row r="14" spans="2:3">
      <c r="B14" s="21"/>
      <c r="C14" s="22"/>
    </row>
    <row r="15" spans="2:3">
      <c r="B15" s="21"/>
      <c r="C15" s="26" t="s">
        <v>32</v>
      </c>
    </row>
    <row r="16" spans="2:3">
      <c r="B16" s="21">
        <v>1</v>
      </c>
      <c r="C16" s="22" t="s">
        <v>33</v>
      </c>
    </row>
    <row r="17" spans="2:9" ht="17" thickBot="1">
      <c r="B17" s="23">
        <v>2</v>
      </c>
      <c r="C17" s="24" t="s">
        <v>34</v>
      </c>
    </row>
    <row r="18" spans="2:9" ht="17" thickBot="1">
      <c r="B18" s="19"/>
      <c r="C18" s="19"/>
    </row>
    <row r="19" spans="2:9">
      <c r="B19" s="20"/>
      <c r="C19" s="25" t="s">
        <v>35</v>
      </c>
      <c r="E19" s="20"/>
      <c r="F19" s="25" t="s">
        <v>35</v>
      </c>
    </row>
    <row r="20" spans="2:9">
      <c r="B20" s="21">
        <v>1</v>
      </c>
      <c r="C20" s="22" t="s">
        <v>55</v>
      </c>
      <c r="E20" s="21">
        <v>1</v>
      </c>
      <c r="F20" s="22" t="s">
        <v>55</v>
      </c>
    </row>
    <row r="21" spans="2:9">
      <c r="B21" s="21">
        <v>2</v>
      </c>
      <c r="C21" s="22" t="s">
        <v>25</v>
      </c>
      <c r="E21" s="21">
        <v>2</v>
      </c>
      <c r="F21" s="22" t="s">
        <v>25</v>
      </c>
    </row>
    <row r="22" spans="2:9">
      <c r="B22" s="21">
        <v>3</v>
      </c>
      <c r="C22" s="22" t="s">
        <v>26</v>
      </c>
      <c r="E22" s="21">
        <v>3</v>
      </c>
      <c r="F22" s="22" t="s">
        <v>26</v>
      </c>
    </row>
    <row r="23" spans="2:9">
      <c r="B23" s="21">
        <v>4</v>
      </c>
      <c r="C23" s="22" t="s">
        <v>54</v>
      </c>
      <c r="E23" s="21">
        <v>4</v>
      </c>
      <c r="F23" s="22" t="s">
        <v>54</v>
      </c>
    </row>
    <row r="24" spans="2:9">
      <c r="B24" s="21">
        <v>5</v>
      </c>
      <c r="C24" s="22" t="s">
        <v>28</v>
      </c>
      <c r="E24" s="21">
        <v>5</v>
      </c>
      <c r="F24" s="22" t="s">
        <v>28</v>
      </c>
    </row>
    <row r="25" spans="2:9">
      <c r="B25" s="21">
        <v>6</v>
      </c>
      <c r="C25" s="22" t="s">
        <v>29</v>
      </c>
      <c r="E25" s="21">
        <v>6</v>
      </c>
      <c r="F25" s="22" t="s">
        <v>29</v>
      </c>
    </row>
    <row r="26" spans="2:9">
      <c r="B26" s="21">
        <v>7</v>
      </c>
      <c r="C26" s="22" t="s">
        <v>30</v>
      </c>
      <c r="E26" s="21">
        <v>7</v>
      </c>
      <c r="F26" s="22" t="s">
        <v>30</v>
      </c>
    </row>
    <row r="27" spans="2:9">
      <c r="B27" s="21">
        <v>8</v>
      </c>
      <c r="C27" s="22" t="s">
        <v>28</v>
      </c>
      <c r="E27" s="21">
        <v>8</v>
      </c>
      <c r="F27" s="22" t="s">
        <v>28</v>
      </c>
    </row>
    <row r="28" spans="2:9" ht="17" thickBot="1">
      <c r="B28" s="21">
        <v>9</v>
      </c>
      <c r="C28" s="22" t="s">
        <v>29</v>
      </c>
      <c r="E28" s="21">
        <v>9</v>
      </c>
      <c r="F28" s="22" t="s">
        <v>29</v>
      </c>
    </row>
    <row r="29" spans="2:9">
      <c r="B29" s="21">
        <v>10</v>
      </c>
      <c r="C29" s="22" t="s">
        <v>31</v>
      </c>
      <c r="E29" s="21">
        <v>10</v>
      </c>
      <c r="F29" s="22" t="s">
        <v>31</v>
      </c>
      <c r="H29" s="45"/>
      <c r="I29" s="76" t="s">
        <v>91</v>
      </c>
    </row>
    <row r="30" spans="2:9">
      <c r="B30" s="21"/>
      <c r="C30" s="22"/>
      <c r="E30" s="21"/>
      <c r="F30" s="22"/>
      <c r="H30" s="77">
        <v>1</v>
      </c>
      <c r="I30" s="78" t="s">
        <v>92</v>
      </c>
    </row>
    <row r="31" spans="2:9">
      <c r="B31" s="21"/>
      <c r="C31" s="26" t="s">
        <v>56</v>
      </c>
      <c r="E31" s="21"/>
      <c r="F31" s="26" t="s">
        <v>36</v>
      </c>
      <c r="H31" s="77">
        <v>2</v>
      </c>
      <c r="I31" s="78" t="s">
        <v>95</v>
      </c>
    </row>
    <row r="32" spans="2:9">
      <c r="B32" s="21">
        <v>1</v>
      </c>
      <c r="C32" s="22" t="s">
        <v>33</v>
      </c>
      <c r="E32" s="21">
        <v>1</v>
      </c>
      <c r="F32" s="22" t="s">
        <v>37</v>
      </c>
      <c r="H32" s="77"/>
      <c r="I32" s="78" t="s">
        <v>94</v>
      </c>
    </row>
    <row r="33" spans="2:9" ht="17" thickBot="1">
      <c r="B33" s="23">
        <v>2</v>
      </c>
      <c r="C33" s="24" t="s">
        <v>34</v>
      </c>
      <c r="E33" s="23">
        <v>2</v>
      </c>
      <c r="F33" s="24" t="s">
        <v>38</v>
      </c>
      <c r="H33" s="46">
        <v>3</v>
      </c>
      <c r="I33" s="24" t="s">
        <v>93</v>
      </c>
    </row>
    <row r="36" spans="2:9" ht="17" thickBot="1">
      <c r="B36" s="19" t="s">
        <v>50</v>
      </c>
    </row>
    <row r="37" spans="2:9">
      <c r="B37" s="45"/>
      <c r="C37" s="25" t="s">
        <v>52</v>
      </c>
    </row>
    <row r="38" spans="2:9" ht="17" thickBot="1">
      <c r="B38" s="46"/>
      <c r="C38" s="47" t="s">
        <v>51</v>
      </c>
    </row>
    <row r="39" spans="2:9" ht="17" thickBot="1"/>
    <row r="40" spans="2:9">
      <c r="F40" s="53" t="s">
        <v>76</v>
      </c>
      <c r="H40" s="20"/>
      <c r="I40" s="25" t="s">
        <v>71</v>
      </c>
    </row>
    <row r="41" spans="2:9">
      <c r="C41" s="11" t="s">
        <v>53</v>
      </c>
      <c r="F41" s="199" t="s">
        <v>68</v>
      </c>
      <c r="H41" s="21">
        <v>1</v>
      </c>
      <c r="I41" s="22" t="s">
        <v>72</v>
      </c>
    </row>
    <row r="42" spans="2:9" ht="17" thickBot="1">
      <c r="F42" s="199"/>
      <c r="H42" s="23">
        <v>2</v>
      </c>
      <c r="I42" s="24" t="s">
        <v>73</v>
      </c>
    </row>
    <row r="43" spans="2:9">
      <c r="F43" s="199"/>
    </row>
    <row r="44" spans="2:9">
      <c r="F44" s="49" t="s">
        <v>66</v>
      </c>
    </row>
    <row r="45" spans="2:9">
      <c r="F45" s="49" t="s">
        <v>67</v>
      </c>
    </row>
    <row r="46" spans="2:9">
      <c r="F46" s="49" t="s">
        <v>69</v>
      </c>
    </row>
    <row r="47" spans="2:9" ht="17" thickBot="1">
      <c r="F47" s="50" t="s">
        <v>70</v>
      </c>
    </row>
  </sheetData>
  <mergeCells count="1">
    <mergeCell ref="F41:F43"/>
  </mergeCells>
  <pageMargins left="0.7" right="0.7" top="0.75" bottom="0.75" header="0.3" footer="0.3"/>
  <pageSetup scale="39" orientation="portrait" horizontalDpi="0" verticalDpi="0" copies="2"/>
</worksheet>
</file>

<file path=docMetadata/LabelInfo.xml><?xml version="1.0" encoding="utf-8"?>
<clbl:labelList xmlns:clbl="http://schemas.microsoft.com/office/2020/mipLabelMetadata">
  <clbl:label id="{ba5a7f39-e3be-4ab3-b450-67fa80faecad}" enabled="0" method="" siteId="{ba5a7f39-e3be-4ab3-b450-67fa80faeca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2X LCGR</vt:lpstr>
      <vt:lpstr>1.5X LCGR</vt:lpstr>
      <vt:lpstr>1X LCGR</vt:lpstr>
      <vt:lpstr>PP and dT21 Prep</vt:lpstr>
      <vt:lpstr>'1.5X LCGR'!Print_Area</vt:lpstr>
      <vt:lpstr>'1X LCGR'!Print_Area</vt:lpstr>
      <vt:lpstr>'2X LCGR'!Print_Area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Malofsky</dc:creator>
  <cp:lastModifiedBy>Malofsky, Nicole A</cp:lastModifiedBy>
  <cp:lastPrinted>2025-03-10T18:39:22Z</cp:lastPrinted>
  <dcterms:created xsi:type="dcterms:W3CDTF">2021-07-14T19:35:26Z</dcterms:created>
  <dcterms:modified xsi:type="dcterms:W3CDTF">2025-11-18T15:34:59Z</dcterms:modified>
</cp:coreProperties>
</file>