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Protocols/PCR Kit Recipes/"/>
    </mc:Choice>
  </mc:AlternateContent>
  <xr:revisionPtr revIDLastSave="12" documentId="8_{318A908C-413D-E84A-B4A5-096A80C76DF0}" xr6:coauthVersionLast="47" xr6:coauthVersionMax="47" xr10:uidLastSave="{B7D3BE71-E4F4-EB48-9CD1-8153A3FCEE01}"/>
  <bookViews>
    <workbookView xWindow="10440" yWindow="1680" windowWidth="38960" windowHeight="20240" xr2:uid="{00000000-000D-0000-FFFF-FFFF00000000}"/>
  </bookViews>
  <sheets>
    <sheet name="2 melt probes" sheetId="63" r:id="rId1"/>
  </sheets>
  <definedNames>
    <definedName name="_xlnm.Print_Area" localSheetId="0">'2 melt probes'!$S$3:$AN$23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63" l="1"/>
  <c r="M17" i="63" s="1"/>
  <c r="Y17" i="63" s="1"/>
  <c r="L16" i="63"/>
  <c r="M16" i="63" s="1"/>
  <c r="X17" i="63" s="1"/>
  <c r="L11" i="63"/>
  <c r="L12" i="63"/>
  <c r="M12" i="63" s="1"/>
  <c r="L13" i="63"/>
  <c r="M13" i="63" s="1"/>
  <c r="L14" i="63"/>
  <c r="M14" i="63" s="1"/>
  <c r="O41" i="63"/>
  <c r="M41" i="63"/>
  <c r="O40" i="63"/>
  <c r="M40" i="63"/>
  <c r="J17" i="63"/>
  <c r="O14" i="63"/>
  <c r="O13" i="63"/>
  <c r="O12" i="63"/>
  <c r="K12" i="63"/>
  <c r="O11" i="63"/>
  <c r="K11" i="63"/>
  <c r="O10" i="63"/>
  <c r="L10" i="63" l="1"/>
  <c r="M10" i="63" s="1"/>
  <c r="M11" i="63"/>
  <c r="M21" i="63" l="1"/>
  <c r="L20" i="63"/>
  <c r="M20" i="63"/>
</calcChain>
</file>

<file path=xl/sharedStrings.xml><?xml version="1.0" encoding="utf-8"?>
<sst xmlns="http://schemas.openxmlformats.org/spreadsheetml/2006/main" count="233" uniqueCount="158">
  <si>
    <t>Date</t>
  </si>
  <si>
    <t>Component</t>
  </si>
  <si>
    <t># of Samples</t>
  </si>
  <si>
    <t># of Rxns</t>
  </si>
  <si>
    <t>Nuclease-free water</t>
  </si>
  <si>
    <t>Add sep</t>
  </si>
  <si>
    <t>vol/tube</t>
  </si>
  <si>
    <t>sum</t>
  </si>
  <si>
    <t>total volume</t>
  </si>
  <si>
    <t>Temp (ºC)</t>
  </si>
  <si>
    <t>Time (mm:ss)</t>
  </si>
  <si>
    <t># of cycles</t>
  </si>
  <si>
    <t>Single Rxn Vol (uL)</t>
  </si>
  <si>
    <t>Full Rxn Vol (uL)</t>
  </si>
  <si>
    <t>Sequence</t>
  </si>
  <si>
    <t>Source</t>
  </si>
  <si>
    <t>Volume (uL) added per rxn</t>
  </si>
  <si>
    <t>[Stock] (uM)</t>
  </si>
  <si>
    <t>[Working] (uM)</t>
  </si>
  <si>
    <t>[Rxn] (nM)</t>
  </si>
  <si>
    <t>[Rxn] (uM)</t>
  </si>
  <si>
    <t>[Working]</t>
  </si>
  <si>
    <t>[Final Rxn uM]</t>
  </si>
  <si>
    <t>Check off Component</t>
  </si>
  <si>
    <t>1X</t>
  </si>
  <si>
    <t>10 uM</t>
  </si>
  <si>
    <t>2X</t>
  </si>
  <si>
    <t>NTC</t>
  </si>
  <si>
    <t>15 min UV light in clean hood</t>
  </si>
  <si>
    <t>Melt / Denaturation (Cycling A)</t>
  </si>
  <si>
    <t>Anneal / Extension (Cycling B) *acquire*</t>
  </si>
  <si>
    <t>Clean hood = left, target bench = left</t>
  </si>
  <si>
    <t>Target</t>
  </si>
  <si>
    <t>A</t>
  </si>
  <si>
    <t>B</t>
  </si>
  <si>
    <t>C</t>
  </si>
  <si>
    <t>D</t>
  </si>
  <si>
    <t>E</t>
  </si>
  <si>
    <t>F</t>
  </si>
  <si>
    <t>G</t>
  </si>
  <si>
    <t>H</t>
  </si>
  <si>
    <t>Polymerase Activation</t>
  </si>
  <si>
    <t>Kit = SensiFAST Probe No-ROX Kit (BIO-86005)</t>
  </si>
  <si>
    <t>Melt Analysis *aquire*</t>
  </si>
  <si>
    <t>LC Green Plus</t>
  </si>
  <si>
    <t>SensiFAST Probe No-ROX Kit</t>
  </si>
  <si>
    <t>10X</t>
  </si>
  <si>
    <t>DNA</t>
  </si>
  <si>
    <t>Classification</t>
  </si>
  <si>
    <t>AA Change</t>
  </si>
  <si>
    <t>Base Change</t>
  </si>
  <si>
    <t>ID</t>
  </si>
  <si>
    <t>Oligo Length</t>
  </si>
  <si>
    <t>Oligo Sequence</t>
  </si>
  <si>
    <t>N/A</t>
  </si>
  <si>
    <t>Note w/r to mutants: SNP underlined in red</t>
  </si>
  <si>
    <t>PCR + post-melt: 0.025C/s on continuous melt per literature support</t>
  </si>
  <si>
    <t>SensiFAST Probe No-ROX Kit (BIO-86005)</t>
  </si>
  <si>
    <t>Location: -20C, rpob - I491 F pink box from 6/3/24</t>
  </si>
  <si>
    <t>10^6 c/uL</t>
  </si>
  <si>
    <t>rpoB F Primer (MEP409)</t>
  </si>
  <si>
    <t>rpoB R Primer (MEP410)</t>
  </si>
  <si>
    <t>RRDR F Primer (MEP409)</t>
  </si>
  <si>
    <t>RRDR R Primer (MEP410)</t>
  </si>
  <si>
    <t>LOT = # SFPN-323412A</t>
  </si>
  <si>
    <t>Anneal / Hybridiization</t>
  </si>
  <si>
    <t>D435V</t>
  </si>
  <si>
    <t>H445D</t>
  </si>
  <si>
    <t>S450L</t>
  </si>
  <si>
    <t>H445D+S450L</t>
  </si>
  <si>
    <t>D435V+H445D+S450L</t>
  </si>
  <si>
    <t>MEP</t>
  </si>
  <si>
    <t>Wild-type RRDR</t>
  </si>
  <si>
    <t>Target Type</t>
  </si>
  <si>
    <t>50 uM</t>
  </si>
  <si>
    <t>Mutated Seg</t>
  </si>
  <si>
    <t>S1</t>
  </si>
  <si>
    <t>S2</t>
  </si>
  <si>
    <t>S1+2</t>
  </si>
  <si>
    <t>Pipet 18uL MM per well</t>
  </si>
  <si>
    <t>Add 2uL target per target well (10^6c/uL)</t>
  </si>
  <si>
    <t>10/23/24 prep 50uM Blocked C3 Spacer WT RRDR Melt Probe MEP551 (Segment 1, stock 10/3/24 in clean room) in -80 box RRDR Melt Probe Segments</t>
  </si>
  <si>
    <t>SYBR Green I nucleic acid gel stain (Sigma S9430_0.5ML) LOT #SLBD8080V</t>
  </si>
  <si>
    <t>10/24/24: prep 100X SYBR in 1X TE via 10,000X DMSO stock</t>
  </si>
  <si>
    <t>PCR instrument = QuantStudio5</t>
  </si>
  <si>
    <t>10/25/24 prep RRDR WT (MEP399) and H445D+S450L (MEP481) target as 10^6 c/uL in -80 box RRDR Targets July 2024</t>
  </si>
  <si>
    <t>11/20/24 prep 10uM 3' TXR Seg1 WT RRDR Melt Probe MEP596 (stock 11/20/24 in clean room) in 20C target fridge</t>
  </si>
  <si>
    <t>12/9/24 prep 10uM 3' TXR Seg2 WT RRDR Melt Probe MEP599 (stock 12/9/24 in clean room) in 20C target fridge</t>
  </si>
  <si>
    <t>12/20/24 prep 10uM 3' TXR Conserved Seg WT RRDR Melt Probe MEP600 (stock 12/20/24 in clean room) in 20C target fridge</t>
  </si>
  <si>
    <t xml:space="preserve">Add Seg1 (@ 10uM) to MM tube </t>
  </si>
  <si>
    <t xml:space="preserve">Add Seg2 (@ 10uM) to MM tube </t>
  </si>
  <si>
    <t>NA</t>
  </si>
  <si>
    <t>11/18 prep I491 WT LDNA TXR 5' FWD and unlabeled REV as 100uM in 1X TE, single strand as 4E12c/uL in water</t>
  </si>
  <si>
    <t xml:space="preserve">11/18/24 prep I491 WT LDNA TXR 5' FWD and unlabeled REV as 1-1 ratio with 2E11 c/uL per strand in water </t>
  </si>
  <si>
    <t>Master Mix</t>
  </si>
  <si>
    <t>02/03/25 Swesh prep 50uM Blocked C3 Spacer WT RRDR Melt Probe MEP492 (Segment 2, stock 7/25/24) in -80 box RRDR Melt Probe Segments</t>
  </si>
  <si>
    <t>2/10/25 and prep 25X SYBR in 1X TE via 100X in TE via 10,000X stock</t>
  </si>
  <si>
    <t>2/11/25 prep 10uM blocked probes MEP551 and 02/03/25 aliquot prep MEP492</t>
  </si>
  <si>
    <t xml:space="preserve">02/26/25 SD MgCl2 prep (500 mM stock) and 100 mM Dilution (clean room right hood) </t>
  </si>
  <si>
    <t>7/23+24/24 prep 10^6c/uL target for H445D (MEP479), D435V (MEP478), S450L (MEP480), D435V+H445D+S450L (MEP482) in -80C box RRDR Targets July 2024</t>
  </si>
  <si>
    <t>3/10/25 prep MEP612 RRDR Seg2 Blocked Probe as 100uM in 1X TE clean room freezer, 10uM in H2O target fridge</t>
  </si>
  <si>
    <t>9/18/24 prep MEP550 RRDR Seg1 Blocked Probe as 10uM in H2O target fridge</t>
  </si>
  <si>
    <t>LC Green Plus (BioFire Cat # BCHM-ASY-0005, LOT 302124), 10X in 10mM Tris-HCl, o 3/11/25, stored in ClRm FridgeB</t>
  </si>
  <si>
    <t>5 uM</t>
  </si>
  <si>
    <t>Blocked Melt Probe Seg1 (MEP614)</t>
  </si>
  <si>
    <t>Blocked Melt Probe Seg2 (MEP613)</t>
  </si>
  <si>
    <r>
      <rPr>
        <b/>
        <sz val="12"/>
        <color rgb="FF0432FF"/>
        <rFont val="Calibri (Body)"/>
      </rPr>
      <t>Seg 1 MEP614</t>
    </r>
    <r>
      <rPr>
        <b/>
        <sz val="12"/>
        <color theme="1"/>
        <rFont val="Calibri"/>
        <family val="2"/>
        <scheme val="minor"/>
      </rPr>
      <t xml:space="preserve"> in uL (via 10uM)</t>
    </r>
  </si>
  <si>
    <r>
      <rPr>
        <b/>
        <sz val="12"/>
        <color rgb="FFFF21B8"/>
        <rFont val="Calibri (Body)"/>
      </rPr>
      <t>Seg 2 MEP613</t>
    </r>
    <r>
      <rPr>
        <b/>
        <sz val="12"/>
        <color theme="1"/>
        <rFont val="Calibri"/>
        <family val="2"/>
        <scheme val="minor"/>
      </rPr>
      <t xml:space="preserve"> in uL (via 10uM)</t>
    </r>
  </si>
  <si>
    <t>n</t>
  </si>
  <si>
    <t>4/7/25 prep L430P (MEP618) and S428T (MEP619) RRDR Targets</t>
  </si>
  <si>
    <t>L430P</t>
  </si>
  <si>
    <t>S428T</t>
  </si>
  <si>
    <t>12/20/24 Swesh prep 10uM conserved WT RC RRDR 3' TXR melt probe MEP 600 (stock 12/20/24 in clean room -20)</t>
  </si>
  <si>
    <t>Seg 1</t>
  </si>
  <si>
    <t>Seg 2</t>
  </si>
  <si>
    <t>4/18/25 prep WT MEP399 dT targets for 10^4--&gt;10^0 c/uL and store in fridge, new MEP399 10^6 on 6/5/25</t>
  </si>
  <si>
    <t>Reagent</t>
  </si>
  <si>
    <t>Conc</t>
  </si>
  <si>
    <t>MEP600</t>
  </si>
  <si>
    <t>1uM</t>
  </si>
  <si>
    <t>MEP613</t>
  </si>
  <si>
    <t>10uM</t>
  </si>
  <si>
    <t>MEP614</t>
  </si>
  <si>
    <t>EvaGreen Plus (Biotium 31077-T, 20X stock)</t>
  </si>
  <si>
    <t>SYBR Green I (Invitrogen S32717A, 10,000X stock) - Prep 20X SYBR Gr I in 1X TE - 6/24/25 (only good for 1 week)</t>
  </si>
  <si>
    <t>6/12/25 prep 100uM in 1X TE and 10uM in H2O conserved WT RC RRDR 3' C3 melt probe MEP 621 (stock 6/12/25 in clean room -20)</t>
  </si>
  <si>
    <t>Aliq Date @ 10^6 c/uL</t>
  </si>
  <si>
    <t>Target = All RRDR variants and NTC</t>
  </si>
  <si>
    <t>7/2/25: prep 100uM in 1X TE and 5uM in H2O 5' TXR reverse primer RRDR (note stock only had 29uL - took 5uL here)</t>
  </si>
  <si>
    <t>Variant not included</t>
  </si>
  <si>
    <t>One MM</t>
  </si>
  <si>
    <t>6/3/25 and 7/7/25 prep MEP613 RRDR Seg2 Blocked Probe as 100uM in 1X TE clean room freezer, 10uM in H2O target fridge</t>
  </si>
  <si>
    <t>4/7/25 and 7/7/25 prep MEP614 RRDR Seg1 Blocked Probe as 100uM in 1X TE clean room freezer, 10uM in H2O target fridge</t>
  </si>
  <si>
    <t>4/7/25 SD and 7/7/25 prep 50uM FWD pri MEP409, 4/7/25 SD and 7/7/25 prep 5uM REV pri MEP410, all from 6/19/24 stock 100uM</t>
  </si>
  <si>
    <t>#5</t>
  </si>
  <si>
    <t>66 per plate --&gt; prep for 70</t>
  </si>
  <si>
    <t>#6</t>
  </si>
  <si>
    <t>#7</t>
  </si>
  <si>
    <t>24 per plate --&gt; prep for 27</t>
  </si>
  <si>
    <t>E378</t>
  </si>
  <si>
    <t>E379</t>
  </si>
  <si>
    <t>E380</t>
  </si>
  <si>
    <t>Conserved Probe Setup</t>
  </si>
  <si>
    <t>Orig 2 Probe Setup</t>
  </si>
  <si>
    <t>E381</t>
  </si>
  <si>
    <t>E382</t>
  </si>
  <si>
    <t>Prep 1uM MEP600 (6/24/25 and 7/7/25 and 7/8/25) from frozen 100uM stock (12/20/24)</t>
  </si>
  <si>
    <t>7/7/25 or 7/8/25</t>
  </si>
  <si>
    <t>o 7/14/25</t>
  </si>
  <si>
    <t xml:space="preserve">Build off E360 - keep 50 cycles and 67C annealing </t>
  </si>
  <si>
    <t>95C to 50C</t>
  </si>
  <si>
    <t>65C to 95C</t>
  </si>
  <si>
    <r>
      <t xml:space="preserve">Custom melt // targets: no passive reference, optical filters </t>
    </r>
    <r>
      <rPr>
        <sz val="12"/>
        <color theme="1"/>
        <rFont val="Calibri (Body)"/>
      </rPr>
      <t>x1 (excitation 470+/-15nm), m1 (emission 520+/-15nm), m4 (emission 623+/-14nm)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 (Body)"/>
      </rPr>
      <t>reporters: LCGR+-none</t>
    </r>
  </si>
  <si>
    <r>
      <t xml:space="preserve">PCR: 1.6C/s to 95C 2m, 1.6C/s to 95C 10s, 1.6C/s to </t>
    </r>
    <r>
      <rPr>
        <sz val="12"/>
        <color rgb="FFFF0000"/>
        <rFont val="Calibri (Body)"/>
      </rPr>
      <t xml:space="preserve">67C </t>
    </r>
    <r>
      <rPr>
        <sz val="12"/>
        <color theme="1"/>
        <rFont val="Calibri"/>
        <family val="2"/>
        <scheme val="minor"/>
      </rPr>
      <t>50s acq (</t>
    </r>
    <r>
      <rPr>
        <sz val="12"/>
        <color rgb="FFFF0000"/>
        <rFont val="Calibri (Body)"/>
      </rPr>
      <t>50X PCR</t>
    </r>
    <r>
      <rPr>
        <sz val="12"/>
        <color theme="1"/>
        <rFont val="Calibri"/>
        <family val="2"/>
        <scheme val="minor"/>
      </rPr>
      <t>)</t>
    </r>
  </si>
  <si>
    <r>
      <t>Melt: 1.6C/s  to 95C 15s, 0.1C/s  to 50</t>
    </r>
    <r>
      <rPr>
        <sz val="12"/>
        <rFont val="Calibri (Body)"/>
      </rPr>
      <t xml:space="preserve">C </t>
    </r>
    <r>
      <rPr>
        <sz val="12"/>
        <rFont val="Calibri"/>
        <family val="2"/>
        <scheme val="minor"/>
      </rPr>
      <t>15s, 1.6C/s to 65</t>
    </r>
    <r>
      <rPr>
        <sz val="12"/>
        <rFont val="Calibri (Body)"/>
      </rPr>
      <t>C</t>
    </r>
    <r>
      <rPr>
        <sz val="12"/>
        <rFont val="Calibri"/>
        <family val="2"/>
        <scheme val="minor"/>
      </rPr>
      <t xml:space="preserve"> 1m, 0.025C/s acq continuous to 95C 15s</t>
    </r>
  </si>
  <si>
    <t>Expt 382 - SensiFAST Probe No Rox</t>
  </si>
  <si>
    <t>Layout #7 - Orig 2 RRDR Melt probes (builds off of E360/381 and Swesh E65/66/67/68)</t>
  </si>
  <si>
    <t xml:space="preserve">Goal: Repeat E360 traditional 2 RRDR melt probes (no cons probe and no iFRET) with layout #7 - 50 cycles across all variants except S428T - use LOD layouts to be efficient in plate usage!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</si>
</sst>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1"/>
      <color theme="1"/>
      <name val="Courier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name val="Courier"/>
      <family val="1"/>
    </font>
    <font>
      <b/>
      <sz val="12"/>
      <name val="Calibri"/>
      <family val="2"/>
      <scheme val="minor"/>
    </font>
    <font>
      <sz val="12"/>
      <color rgb="FF000000"/>
      <name val="Courier New"/>
      <family val="1"/>
    </font>
    <font>
      <b/>
      <sz val="12"/>
      <color theme="1"/>
      <name val="Courier New"/>
      <family val="1"/>
    </font>
    <font>
      <sz val="12"/>
      <name val="Courier New"/>
      <family val="1"/>
    </font>
    <font>
      <sz val="12"/>
      <color theme="1"/>
      <name val="Courier New"/>
      <family val="1"/>
    </font>
    <font>
      <sz val="11"/>
      <color rgb="FF000000"/>
      <name val="Courier New"/>
      <family val="1"/>
    </font>
    <font>
      <sz val="11"/>
      <color rgb="FFFFFFFF"/>
      <name val="Arial"/>
      <family val="2"/>
    </font>
    <font>
      <sz val="12"/>
      <color theme="2"/>
      <name val="Calibri"/>
      <family val="2"/>
      <scheme val="minor"/>
    </font>
    <font>
      <b/>
      <sz val="12"/>
      <color rgb="FF0432FF"/>
      <name val="Calibri (Body)"/>
    </font>
    <font>
      <b/>
      <sz val="12"/>
      <color rgb="FFFF21B8"/>
      <name val="Calibri (Body)"/>
    </font>
    <font>
      <sz val="12"/>
      <name val="Calibri (Body)"/>
    </font>
    <font>
      <b/>
      <sz val="36"/>
      <color rgb="FFFF0000"/>
      <name val="Calibri (Body)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 (Body)"/>
    </font>
    <font>
      <sz val="12"/>
      <color rgb="FFFF0000"/>
      <name val="Calibri (Body)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21B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AFF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FDFF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42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11" xfId="0" applyNumberFormat="1" applyBorder="1"/>
    <xf numFmtId="0" fontId="0" fillId="2" borderId="11" xfId="0" applyFill="1" applyBorder="1"/>
    <xf numFmtId="0" fontId="0" fillId="0" borderId="7" xfId="0" applyBorder="1"/>
    <xf numFmtId="0" fontId="0" fillId="0" borderId="8" xfId="0" applyBorder="1"/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9" xfId="0" applyFill="1" applyBorder="1"/>
    <xf numFmtId="0" fontId="1" fillId="0" borderId="0" xfId="0" applyFont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21" xfId="0" applyBorder="1"/>
    <xf numFmtId="0" fontId="1" fillId="0" borderId="25" xfId="0" applyFont="1" applyBorder="1" applyAlignment="1">
      <alignment horizontal="center" vertical="center" wrapText="1"/>
    </xf>
    <xf numFmtId="0" fontId="0" fillId="3" borderId="21" xfId="0" applyFill="1" applyBorder="1"/>
    <xf numFmtId="0" fontId="0" fillId="0" borderId="0" xfId="0" applyAlignment="1">
      <alignment vertical="center"/>
    </xf>
    <xf numFmtId="1" fontId="0" fillId="0" borderId="11" xfId="0" applyNumberFormat="1" applyBorder="1" applyAlignment="1">
      <alignment horizontal="right"/>
    </xf>
    <xf numFmtId="0" fontId="3" fillId="0" borderId="0" xfId="0" applyFont="1"/>
    <xf numFmtId="0" fontId="0" fillId="0" borderId="22" xfId="0" applyBorder="1"/>
    <xf numFmtId="0" fontId="0" fillId="0" borderId="6" xfId="0" applyBorder="1"/>
    <xf numFmtId="0" fontId="3" fillId="4" borderId="2" xfId="0" applyFont="1" applyFill="1" applyBorder="1"/>
    <xf numFmtId="0" fontId="1" fillId="0" borderId="20" xfId="0" applyFon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/>
    <xf numFmtId="0" fontId="10" fillId="0" borderId="16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left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28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20" fontId="5" fillId="0" borderId="4" xfId="0" applyNumberFormat="1" applyFont="1" applyBorder="1"/>
    <xf numFmtId="0" fontId="5" fillId="0" borderId="7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wrapText="1"/>
    </xf>
    <xf numFmtId="0" fontId="1" fillId="0" borderId="5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justify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7" fillId="4" borderId="1" xfId="0" applyFont="1" applyFill="1" applyBorder="1" applyAlignment="1">
      <alignment vertical="center"/>
    </xf>
    <xf numFmtId="0" fontId="0" fillId="3" borderId="31" xfId="0" applyFill="1" applyBorder="1"/>
    <xf numFmtId="0" fontId="0" fillId="3" borderId="22" xfId="0" applyFill="1" applyBorder="1"/>
    <xf numFmtId="0" fontId="1" fillId="0" borderId="1" xfId="0" applyFont="1" applyBorder="1" applyAlignment="1">
      <alignment horizontal="center" vertical="center"/>
    </xf>
    <xf numFmtId="0" fontId="13" fillId="0" borderId="1" xfId="0" applyFont="1" applyBorder="1"/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2" fontId="0" fillId="3" borderId="21" xfId="0" applyNumberFormat="1" applyFill="1" applyBorder="1"/>
    <xf numFmtId="2" fontId="0" fillId="0" borderId="21" xfId="0" applyNumberFormat="1" applyBorder="1"/>
    <xf numFmtId="0" fontId="9" fillId="0" borderId="0" xfId="0" applyFont="1" applyAlignment="1">
      <alignment horizontal="left" vertical="top"/>
    </xf>
    <xf numFmtId="0" fontId="0" fillId="13" borderId="1" xfId="0" applyFill="1" applyBorder="1" applyAlignment="1">
      <alignment horizontal="righ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0" fontId="10" fillId="0" borderId="0" xfId="0" applyFont="1" applyAlignment="1">
      <alignment horizontal="justify" vertical="center" wrapText="1"/>
    </xf>
    <xf numFmtId="2" fontId="0" fillId="0" borderId="9" xfId="0" applyNumberFormat="1" applyBorder="1"/>
    <xf numFmtId="2" fontId="0" fillId="0" borderId="1" xfId="0" applyNumberFormat="1" applyBorder="1"/>
    <xf numFmtId="0" fontId="0" fillId="0" borderId="0" xfId="0" applyAlignment="1">
      <alignment horizontal="left" wrapText="1"/>
    </xf>
    <xf numFmtId="0" fontId="0" fillId="11" borderId="0" xfId="0" applyFill="1"/>
    <xf numFmtId="0" fontId="0" fillId="10" borderId="1" xfId="0" applyFill="1" applyBorder="1" applyAlignment="1">
      <alignment horizontal="left"/>
    </xf>
    <xf numFmtId="0" fontId="0" fillId="9" borderId="0" xfId="0" applyFill="1"/>
    <xf numFmtId="0" fontId="19" fillId="0" borderId="1" xfId="0" applyFont="1" applyBorder="1" applyAlignment="1">
      <alignment horizontal="justify" vertical="center" wrapText="1"/>
    </xf>
    <xf numFmtId="0" fontId="10" fillId="0" borderId="32" xfId="0" applyFont="1" applyBorder="1" applyAlignment="1">
      <alignment horizontal="justify" vertical="center" wrapText="1"/>
    </xf>
    <xf numFmtId="0" fontId="10" fillId="0" borderId="30" xfId="0" applyFont="1" applyBorder="1" applyAlignment="1">
      <alignment horizontal="justify" vertical="center" wrapText="1"/>
    </xf>
    <xf numFmtId="0" fontId="0" fillId="0" borderId="23" xfId="0" applyBorder="1"/>
    <xf numFmtId="0" fontId="0" fillId="15" borderId="21" xfId="0" applyFill="1" applyBorder="1"/>
    <xf numFmtId="0" fontId="0" fillId="15" borderId="22" xfId="0" applyFill="1" applyBorder="1"/>
    <xf numFmtId="0" fontId="10" fillId="0" borderId="18" xfId="0" applyFont="1" applyBorder="1" applyAlignment="1">
      <alignment horizontal="justify" vertical="center" wrapText="1"/>
    </xf>
    <xf numFmtId="2" fontId="0" fillId="0" borderId="1" xfId="0" applyNumberFormat="1" applyBorder="1" applyAlignment="1">
      <alignment horizontal="center"/>
    </xf>
    <xf numFmtId="0" fontId="3" fillId="12" borderId="2" xfId="0" applyFont="1" applyFill="1" applyBorder="1"/>
    <xf numFmtId="2" fontId="3" fillId="12" borderId="3" xfId="0" applyNumberFormat="1" applyFont="1" applyFill="1" applyBorder="1"/>
    <xf numFmtId="2" fontId="3" fillId="12" borderId="4" xfId="0" applyNumberFormat="1" applyFont="1" applyFill="1" applyBorder="1" applyAlignment="1">
      <alignment horizontal="right"/>
    </xf>
    <xf numFmtId="0" fontId="3" fillId="7" borderId="2" xfId="0" applyFont="1" applyFill="1" applyBorder="1"/>
    <xf numFmtId="2" fontId="3" fillId="7" borderId="3" xfId="0" applyNumberFormat="1" applyFont="1" applyFill="1" applyBorder="1"/>
    <xf numFmtId="2" fontId="3" fillId="7" borderId="4" xfId="0" applyNumberFormat="1" applyFont="1" applyFill="1" applyBorder="1" applyAlignment="1">
      <alignment horizontal="right"/>
    </xf>
    <xf numFmtId="20" fontId="6" fillId="0" borderId="6" xfId="0" applyNumberFormat="1" applyFont="1" applyBorder="1"/>
    <xf numFmtId="0" fontId="6" fillId="0" borderId="6" xfId="0" applyFont="1" applyBorder="1"/>
    <xf numFmtId="0" fontId="5" fillId="0" borderId="5" xfId="0" applyFont="1" applyBorder="1" applyAlignment="1">
      <alignment horizontal="right"/>
    </xf>
    <xf numFmtId="0" fontId="19" fillId="0" borderId="21" xfId="0" applyFont="1" applyBorder="1" applyAlignment="1">
      <alignment horizontal="justify" vertical="center" wrapText="1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10" fillId="0" borderId="26" xfId="0" applyFont="1" applyBorder="1" applyAlignment="1">
      <alignment horizontal="justify" vertical="center" wrapText="1"/>
    </xf>
    <xf numFmtId="0" fontId="19" fillId="4" borderId="2" xfId="0" applyFont="1" applyFill="1" applyBorder="1" applyAlignment="1">
      <alignment horizontal="justify" vertical="center" wrapText="1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0" fontId="19" fillId="6" borderId="2" xfId="0" applyFont="1" applyFill="1" applyBorder="1" applyAlignment="1">
      <alignment horizontal="justify" vertical="center" wrapText="1"/>
    </xf>
    <xf numFmtId="0" fontId="25" fillId="0" borderId="0" xfId="0" applyFont="1" applyAlignment="1">
      <alignment horizontal="left" vertical="center"/>
    </xf>
    <xf numFmtId="0" fontId="3" fillId="4" borderId="1" xfId="0" applyFont="1" applyFill="1" applyBorder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8" borderId="1" xfId="0" applyFont="1" applyFill="1" applyBorder="1" applyAlignment="1">
      <alignment horizontal="right"/>
    </xf>
    <xf numFmtId="0" fontId="3" fillId="8" borderId="1" xfId="0" applyFont="1" applyFill="1" applyBorder="1" applyAlignment="1">
      <alignment horizontal="center"/>
    </xf>
    <xf numFmtId="14" fontId="3" fillId="8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4" fontId="20" fillId="5" borderId="1" xfId="0" applyNumberFormat="1" applyFont="1" applyFill="1" applyBorder="1" applyAlignment="1">
      <alignment horizontal="center" vertical="center"/>
    </xf>
    <xf numFmtId="14" fontId="20" fillId="8" borderId="1" xfId="0" applyNumberFormat="1" applyFont="1" applyFill="1" applyBorder="1" applyAlignment="1">
      <alignment horizontal="center" vertical="center"/>
    </xf>
    <xf numFmtId="14" fontId="3" fillId="15" borderId="1" xfId="0" applyNumberFormat="1" applyFont="1" applyFill="1" applyBorder="1" applyAlignment="1">
      <alignment horizontal="center"/>
    </xf>
    <xf numFmtId="14" fontId="20" fillId="4" borderId="1" xfId="0" applyNumberFormat="1" applyFont="1" applyFill="1" applyBorder="1" applyAlignment="1">
      <alignment horizontal="center" vertical="center"/>
    </xf>
    <xf numFmtId="14" fontId="20" fillId="12" borderId="1" xfId="0" applyNumberFormat="1" applyFont="1" applyFill="1" applyBorder="1" applyAlignment="1">
      <alignment horizontal="center" vertical="center"/>
    </xf>
    <xf numFmtId="14" fontId="3" fillId="16" borderId="1" xfId="0" applyNumberFormat="1" applyFont="1" applyFill="1" applyBorder="1" applyAlignment="1">
      <alignment horizontal="center"/>
    </xf>
    <xf numFmtId="14" fontId="20" fillId="7" borderId="1" xfId="0" applyNumberFormat="1" applyFont="1" applyFill="1" applyBorder="1" applyAlignment="1">
      <alignment horizontal="center" vertical="center"/>
    </xf>
    <xf numFmtId="14" fontId="20" fillId="6" borderId="1" xfId="0" applyNumberFormat="1" applyFont="1" applyFill="1" applyBorder="1" applyAlignment="1">
      <alignment horizontal="center" vertical="center"/>
    </xf>
    <xf numFmtId="0" fontId="19" fillId="0" borderId="28" xfId="0" applyFont="1" applyBorder="1" applyAlignment="1">
      <alignment horizontal="justify" vertical="center" wrapText="1"/>
    </xf>
    <xf numFmtId="0" fontId="11" fillId="5" borderId="2" xfId="0" applyFont="1" applyFill="1" applyBorder="1" applyAlignment="1">
      <alignment horizontal="justify" vertical="center" wrapText="1"/>
    </xf>
    <xf numFmtId="0" fontId="19" fillId="5" borderId="3" xfId="0" applyFont="1" applyFill="1" applyBorder="1" applyAlignment="1">
      <alignment horizontal="justify" vertical="center" wrapText="1"/>
    </xf>
    <xf numFmtId="0" fontId="19" fillId="5" borderId="4" xfId="0" applyFont="1" applyFill="1" applyBorder="1" applyAlignment="1">
      <alignment horizontal="justify" vertical="center" wrapText="1"/>
    </xf>
    <xf numFmtId="0" fontId="19" fillId="4" borderId="3" xfId="0" applyFont="1" applyFill="1" applyBorder="1" applyAlignment="1">
      <alignment horizontal="justify" vertical="center" wrapText="1"/>
    </xf>
    <xf numFmtId="0" fontId="19" fillId="4" borderId="4" xfId="0" applyFont="1" applyFill="1" applyBorder="1" applyAlignment="1">
      <alignment horizontal="justify" vertical="center" wrapText="1"/>
    </xf>
    <xf numFmtId="0" fontId="19" fillId="12" borderId="2" xfId="0" applyFont="1" applyFill="1" applyBorder="1" applyAlignment="1">
      <alignment horizontal="justify" vertical="center" wrapText="1"/>
    </xf>
    <xf numFmtId="0" fontId="19" fillId="12" borderId="3" xfId="0" applyFont="1" applyFill="1" applyBorder="1" applyAlignment="1">
      <alignment horizontal="justify" vertical="center" wrapText="1"/>
    </xf>
    <xf numFmtId="0" fontId="19" fillId="12" borderId="4" xfId="0" applyFont="1" applyFill="1" applyBorder="1" applyAlignment="1">
      <alignment horizontal="justify" vertical="center" wrapText="1"/>
    </xf>
    <xf numFmtId="0" fontId="19" fillId="0" borderId="33" xfId="0" applyFont="1" applyBorder="1" applyAlignment="1">
      <alignment horizontal="justify" vertical="center" wrapText="1"/>
    </xf>
    <xf numFmtId="0" fontId="19" fillId="5" borderId="5" xfId="0" applyFont="1" applyFill="1" applyBorder="1" applyAlignment="1">
      <alignment horizontal="justify" vertical="center" wrapText="1"/>
    </xf>
    <xf numFmtId="0" fontId="19" fillId="5" borderId="1" xfId="0" applyFont="1" applyFill="1" applyBorder="1" applyAlignment="1">
      <alignment horizontal="justify" vertical="center" wrapText="1"/>
    </xf>
    <xf numFmtId="0" fontId="19" fillId="5" borderId="6" xfId="0" applyFont="1" applyFill="1" applyBorder="1" applyAlignment="1">
      <alignment horizontal="justify" vertical="center" wrapText="1"/>
    </xf>
    <xf numFmtId="0" fontId="19" fillId="4" borderId="5" xfId="0" applyFont="1" applyFill="1" applyBorder="1" applyAlignment="1">
      <alignment horizontal="justify" vertical="center" wrapText="1"/>
    </xf>
    <xf numFmtId="0" fontId="19" fillId="4" borderId="1" xfId="0" applyFont="1" applyFill="1" applyBorder="1" applyAlignment="1">
      <alignment horizontal="justify" vertical="center" wrapText="1"/>
    </xf>
    <xf numFmtId="0" fontId="19" fillId="4" borderId="6" xfId="0" applyFont="1" applyFill="1" applyBorder="1" applyAlignment="1">
      <alignment horizontal="justify" vertical="center" wrapText="1"/>
    </xf>
    <xf numFmtId="0" fontId="19" fillId="12" borderId="5" xfId="0" applyFont="1" applyFill="1" applyBorder="1" applyAlignment="1">
      <alignment horizontal="justify" vertical="center" wrapText="1"/>
    </xf>
    <xf numFmtId="0" fontId="19" fillId="12" borderId="1" xfId="0" applyFont="1" applyFill="1" applyBorder="1" applyAlignment="1">
      <alignment horizontal="justify" vertical="center" wrapText="1"/>
    </xf>
    <xf numFmtId="0" fontId="19" fillId="12" borderId="6" xfId="0" applyFont="1" applyFill="1" applyBorder="1" applyAlignment="1">
      <alignment horizontal="justify" vertical="center" wrapText="1"/>
    </xf>
    <xf numFmtId="0" fontId="11" fillId="5" borderId="5" xfId="0" applyFont="1" applyFill="1" applyBorder="1" applyAlignment="1">
      <alignment horizontal="justify" vertical="center" wrapText="1"/>
    </xf>
    <xf numFmtId="0" fontId="19" fillId="0" borderId="34" xfId="0" applyFont="1" applyBorder="1" applyAlignment="1">
      <alignment horizontal="justify" vertical="center" wrapText="1"/>
    </xf>
    <xf numFmtId="0" fontId="19" fillId="18" borderId="31" xfId="0" applyFont="1" applyFill="1" applyBorder="1" applyAlignment="1">
      <alignment horizontal="justify" vertical="center" wrapText="1"/>
    </xf>
    <xf numFmtId="0" fontId="19" fillId="18" borderId="22" xfId="0" applyFont="1" applyFill="1" applyBorder="1" applyAlignment="1">
      <alignment horizontal="justify" vertical="center" wrapText="1"/>
    </xf>
    <xf numFmtId="0" fontId="19" fillId="5" borderId="7" xfId="0" applyFont="1" applyFill="1" applyBorder="1" applyAlignment="1">
      <alignment horizontal="justify" vertical="center" wrapText="1"/>
    </xf>
    <xf numFmtId="0" fontId="19" fillId="5" borderId="8" xfId="0" applyFont="1" applyFill="1" applyBorder="1" applyAlignment="1">
      <alignment horizontal="justify" vertical="center" wrapText="1"/>
    </xf>
    <xf numFmtId="0" fontId="19" fillId="5" borderId="9" xfId="0" applyFont="1" applyFill="1" applyBorder="1" applyAlignment="1">
      <alignment horizontal="justify" vertical="center" wrapText="1"/>
    </xf>
    <xf numFmtId="0" fontId="19" fillId="4" borderId="7" xfId="0" applyFont="1" applyFill="1" applyBorder="1" applyAlignment="1">
      <alignment horizontal="justify" vertical="center" wrapText="1"/>
    </xf>
    <xf numFmtId="0" fontId="19" fillId="4" borderId="8" xfId="0" applyFont="1" applyFill="1" applyBorder="1" applyAlignment="1">
      <alignment horizontal="justify" vertical="center" wrapText="1"/>
    </xf>
    <xf numFmtId="0" fontId="19" fillId="4" borderId="9" xfId="0" applyFont="1" applyFill="1" applyBorder="1" applyAlignment="1">
      <alignment horizontal="justify" vertical="center" wrapText="1"/>
    </xf>
    <xf numFmtId="0" fontId="19" fillId="12" borderId="7" xfId="0" applyFont="1" applyFill="1" applyBorder="1" applyAlignment="1">
      <alignment horizontal="justify" vertical="center" wrapText="1"/>
    </xf>
    <xf numFmtId="0" fontId="19" fillId="12" borderId="8" xfId="0" applyFont="1" applyFill="1" applyBorder="1" applyAlignment="1">
      <alignment horizontal="justify" vertical="center" wrapText="1"/>
    </xf>
    <xf numFmtId="0" fontId="19" fillId="12" borderId="9" xfId="0" applyFont="1" applyFill="1" applyBorder="1" applyAlignment="1">
      <alignment horizontal="justify" vertical="center" wrapText="1"/>
    </xf>
    <xf numFmtId="0" fontId="19" fillId="18" borderId="35" xfId="0" applyFont="1" applyFill="1" applyBorder="1" applyAlignment="1">
      <alignment horizontal="justify" vertical="center" wrapText="1"/>
    </xf>
    <xf numFmtId="0" fontId="11" fillId="17" borderId="2" xfId="0" applyFont="1" applyFill="1" applyBorder="1" applyAlignment="1">
      <alignment horizontal="justify" vertical="center" wrapText="1"/>
    </xf>
    <xf numFmtId="0" fontId="19" fillId="17" borderId="3" xfId="0" applyFont="1" applyFill="1" applyBorder="1" applyAlignment="1">
      <alignment horizontal="justify" vertical="center" wrapText="1"/>
    </xf>
    <xf numFmtId="0" fontId="19" fillId="17" borderId="4" xfId="0" applyFont="1" applyFill="1" applyBorder="1" applyAlignment="1">
      <alignment horizontal="justify" vertical="center" wrapText="1"/>
    </xf>
    <xf numFmtId="0" fontId="19" fillId="17" borderId="5" xfId="0" applyFont="1" applyFill="1" applyBorder="1" applyAlignment="1">
      <alignment horizontal="justify" vertical="center" wrapText="1"/>
    </xf>
    <xf numFmtId="0" fontId="19" fillId="17" borderId="1" xfId="0" applyFont="1" applyFill="1" applyBorder="1" applyAlignment="1">
      <alignment horizontal="justify" vertical="center" wrapText="1"/>
    </xf>
    <xf numFmtId="0" fontId="19" fillId="17" borderId="6" xfId="0" applyFont="1" applyFill="1" applyBorder="1" applyAlignment="1">
      <alignment horizontal="justify" vertical="center" wrapText="1"/>
    </xf>
    <xf numFmtId="0" fontId="11" fillId="17" borderId="5" xfId="0" applyFont="1" applyFill="1" applyBorder="1" applyAlignment="1">
      <alignment horizontal="justify" vertical="center" wrapText="1"/>
    </xf>
    <xf numFmtId="0" fontId="19" fillId="17" borderId="7" xfId="0" applyFont="1" applyFill="1" applyBorder="1" applyAlignment="1">
      <alignment horizontal="justify" vertical="center" wrapText="1"/>
    </xf>
    <xf numFmtId="0" fontId="19" fillId="17" borderId="8" xfId="0" applyFont="1" applyFill="1" applyBorder="1" applyAlignment="1">
      <alignment horizontal="justify" vertical="center" wrapText="1"/>
    </xf>
    <xf numFmtId="0" fontId="19" fillId="17" borderId="9" xfId="0" applyFont="1" applyFill="1" applyBorder="1" applyAlignment="1">
      <alignment horizontal="justify" vertical="center" wrapText="1"/>
    </xf>
    <xf numFmtId="0" fontId="19" fillId="7" borderId="2" xfId="0" applyFont="1" applyFill="1" applyBorder="1" applyAlignment="1">
      <alignment horizontal="justify" vertical="center" wrapText="1"/>
    </xf>
    <xf numFmtId="0" fontId="19" fillId="7" borderId="3" xfId="0" applyFont="1" applyFill="1" applyBorder="1" applyAlignment="1">
      <alignment horizontal="justify" vertical="center" wrapText="1"/>
    </xf>
    <xf numFmtId="0" fontId="19" fillId="7" borderId="4" xfId="0" applyFont="1" applyFill="1" applyBorder="1" applyAlignment="1">
      <alignment horizontal="justify" vertical="center" wrapText="1"/>
    </xf>
    <xf numFmtId="0" fontId="19" fillId="7" borderId="5" xfId="0" applyFont="1" applyFill="1" applyBorder="1" applyAlignment="1">
      <alignment horizontal="justify" vertical="center" wrapText="1"/>
    </xf>
    <xf numFmtId="0" fontId="19" fillId="7" borderId="1" xfId="0" applyFont="1" applyFill="1" applyBorder="1" applyAlignment="1">
      <alignment horizontal="justify" vertical="center" wrapText="1"/>
    </xf>
    <xf numFmtId="0" fontId="19" fillId="7" borderId="6" xfId="0" applyFont="1" applyFill="1" applyBorder="1" applyAlignment="1">
      <alignment horizontal="justify" vertical="center" wrapText="1"/>
    </xf>
    <xf numFmtId="0" fontId="19" fillId="7" borderId="7" xfId="0" applyFont="1" applyFill="1" applyBorder="1" applyAlignment="1">
      <alignment horizontal="justify" vertical="center" wrapText="1"/>
    </xf>
    <xf numFmtId="0" fontId="19" fillId="7" borderId="8" xfId="0" applyFont="1" applyFill="1" applyBorder="1" applyAlignment="1">
      <alignment horizontal="justify" vertical="center" wrapText="1"/>
    </xf>
    <xf numFmtId="0" fontId="19" fillId="7" borderId="9" xfId="0" applyFont="1" applyFill="1" applyBorder="1" applyAlignment="1">
      <alignment horizontal="justify" vertical="center" wrapText="1"/>
    </xf>
    <xf numFmtId="0" fontId="19" fillId="6" borderId="3" xfId="0" applyFont="1" applyFill="1" applyBorder="1" applyAlignment="1">
      <alignment horizontal="justify" vertical="center" wrapText="1"/>
    </xf>
    <xf numFmtId="0" fontId="19" fillId="6" borderId="4" xfId="0" applyFont="1" applyFill="1" applyBorder="1" applyAlignment="1">
      <alignment horizontal="justify" vertical="center" wrapText="1"/>
    </xf>
    <xf numFmtId="0" fontId="19" fillId="6" borderId="5" xfId="0" applyFont="1" applyFill="1" applyBorder="1" applyAlignment="1">
      <alignment horizontal="justify" vertical="center" wrapText="1"/>
    </xf>
    <xf numFmtId="0" fontId="19" fillId="6" borderId="1" xfId="0" applyFont="1" applyFill="1" applyBorder="1" applyAlignment="1">
      <alignment horizontal="justify" vertical="center" wrapText="1"/>
    </xf>
    <xf numFmtId="0" fontId="19" fillId="6" borderId="6" xfId="0" applyFont="1" applyFill="1" applyBorder="1" applyAlignment="1">
      <alignment horizontal="justify" vertical="center" wrapText="1"/>
    </xf>
    <xf numFmtId="0" fontId="19" fillId="6" borderId="7" xfId="0" applyFont="1" applyFill="1" applyBorder="1" applyAlignment="1">
      <alignment horizontal="justify" vertical="center" wrapText="1"/>
    </xf>
    <xf numFmtId="0" fontId="19" fillId="6" borderId="8" xfId="0" applyFont="1" applyFill="1" applyBorder="1" applyAlignment="1">
      <alignment horizontal="justify" vertical="center" wrapText="1"/>
    </xf>
    <xf numFmtId="0" fontId="19" fillId="6" borderId="9" xfId="0" applyFont="1" applyFill="1" applyBorder="1" applyAlignment="1">
      <alignment horizontal="justify" vertical="center" wrapText="1"/>
    </xf>
    <xf numFmtId="0" fontId="26" fillId="19" borderId="2" xfId="0" applyFont="1" applyFill="1" applyBorder="1" applyAlignment="1">
      <alignment horizontal="justify" vertical="center" wrapText="1"/>
    </xf>
    <xf numFmtId="0" fontId="26" fillId="19" borderId="3" xfId="0" applyFont="1" applyFill="1" applyBorder="1" applyAlignment="1">
      <alignment horizontal="justify" vertical="center" wrapText="1"/>
    </xf>
    <xf numFmtId="0" fontId="26" fillId="19" borderId="4" xfId="0" applyFont="1" applyFill="1" applyBorder="1" applyAlignment="1">
      <alignment horizontal="justify" vertical="center" wrapText="1"/>
    </xf>
    <xf numFmtId="0" fontId="26" fillId="19" borderId="5" xfId="0" applyFont="1" applyFill="1" applyBorder="1" applyAlignment="1">
      <alignment horizontal="justify" vertical="center" wrapText="1"/>
    </xf>
    <xf numFmtId="0" fontId="26" fillId="19" borderId="1" xfId="0" applyFont="1" applyFill="1" applyBorder="1" applyAlignment="1">
      <alignment horizontal="justify" vertical="center" wrapText="1"/>
    </xf>
    <xf numFmtId="0" fontId="26" fillId="19" borderId="6" xfId="0" applyFont="1" applyFill="1" applyBorder="1" applyAlignment="1">
      <alignment horizontal="justify" vertical="center" wrapText="1"/>
    </xf>
    <xf numFmtId="0" fontId="26" fillId="19" borderId="7" xfId="0" applyFont="1" applyFill="1" applyBorder="1" applyAlignment="1">
      <alignment horizontal="justify" vertical="center" wrapText="1"/>
    </xf>
    <xf numFmtId="0" fontId="26" fillId="19" borderId="8" xfId="0" applyFont="1" applyFill="1" applyBorder="1" applyAlignment="1">
      <alignment horizontal="justify" vertical="center" wrapText="1"/>
    </xf>
    <xf numFmtId="0" fontId="26" fillId="19" borderId="9" xfId="0" applyFont="1" applyFill="1" applyBorder="1" applyAlignment="1">
      <alignment horizontal="justify" vertical="center" wrapText="1"/>
    </xf>
    <xf numFmtId="0" fontId="27" fillId="0" borderId="0" xfId="0" applyFont="1"/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26" xfId="0" applyBorder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/>
    </xf>
    <xf numFmtId="20" fontId="6" fillId="0" borderId="6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20" fontId="6" fillId="0" borderId="8" xfId="0" applyNumberFormat="1" applyFont="1" applyBorder="1" applyAlignment="1">
      <alignment horizontal="center" vertical="center"/>
    </xf>
    <xf numFmtId="20" fontId="6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13" fillId="10" borderId="0" xfId="0" applyFont="1" applyFill="1" applyAlignment="1">
      <alignment horizontal="center" vertical="center" wrapText="1"/>
    </xf>
    <xf numFmtId="0" fontId="6" fillId="0" borderId="5" xfId="0" applyFont="1" applyFill="1" applyBorder="1"/>
    <xf numFmtId="0" fontId="6" fillId="0" borderId="2" xfId="0" applyFont="1" applyFill="1" applyBorder="1"/>
    <xf numFmtId="0" fontId="6" fillId="0" borderId="3" xfId="0" applyFont="1" applyFill="1" applyBorder="1" applyAlignment="1">
      <alignment horizontal="right"/>
    </xf>
    <xf numFmtId="2" fontId="6" fillId="0" borderId="3" xfId="0" applyNumberFormat="1" applyFont="1" applyFill="1" applyBorder="1"/>
    <xf numFmtId="2" fontId="6" fillId="0" borderId="4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right" vertical="center"/>
    </xf>
    <xf numFmtId="0" fontId="0" fillId="0" borderId="29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10" borderId="1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8AD8"/>
      <color rgb="FF00FDFF"/>
      <color rgb="FF0432FF"/>
      <color rgb="FFED7D31"/>
      <color rgb="FFFF40FF"/>
      <color rgb="FF008F00"/>
      <color rgb="FFFF21B8"/>
      <color rgb="FF00BAFF"/>
      <color rgb="FFC752FE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09C7-3A0E-234C-B17F-DB8FA250B5EC}">
  <sheetPr>
    <pageSetUpPr fitToPage="1"/>
  </sheetPr>
  <dimension ref="H1:BO81"/>
  <sheetViews>
    <sheetView tabSelected="1" topLeftCell="R1" zoomScaleNormal="160" workbookViewId="0">
      <selection activeCell="S4" sqref="S3:AN23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33" customWidth="1"/>
    <col min="10" max="10" width="18.33203125" customWidth="1"/>
    <col min="11" max="11" width="21.83203125" customWidth="1"/>
    <col min="12" max="12" width="18" customWidth="1"/>
    <col min="13" max="13" width="17.1640625" customWidth="1"/>
    <col min="14" max="14" width="7" customWidth="1"/>
    <col min="15" max="15" width="59.33203125" customWidth="1"/>
    <col min="16" max="16" width="3" customWidth="1"/>
    <col min="17" max="17" width="36.83203125" customWidth="1"/>
    <col min="18" max="18" width="78" customWidth="1"/>
    <col min="19" max="19" width="38.6640625" customWidth="1"/>
    <col min="20" max="20" width="9.5" customWidth="1"/>
    <col min="21" max="21" width="14.6640625" customWidth="1"/>
    <col min="22" max="22" width="7.33203125" customWidth="1"/>
    <col min="23" max="23" width="15.33203125" customWidth="1"/>
    <col min="24" max="24" width="19" customWidth="1"/>
    <col min="25" max="25" width="17.6640625" customWidth="1"/>
    <col min="26" max="26" width="19.33203125" customWidth="1"/>
    <col min="27" max="27" width="3" customWidth="1"/>
    <col min="28" max="28" width="2.6640625" bestFit="1" customWidth="1"/>
    <col min="29" max="34" width="3.83203125" customWidth="1"/>
    <col min="35" max="36" width="3.6640625" bestFit="1" customWidth="1"/>
    <col min="37" max="37" width="3.83203125" customWidth="1"/>
    <col min="38" max="39" width="4" customWidth="1"/>
    <col min="40" max="40" width="3.83203125" customWidth="1"/>
    <col min="41" max="41" width="15.5" customWidth="1"/>
    <col min="42" max="42" width="14.1640625" customWidth="1"/>
    <col min="43" max="43" width="14.33203125" customWidth="1"/>
    <col min="44" max="44" width="3.83203125" customWidth="1"/>
    <col min="45" max="45" width="3.33203125" customWidth="1"/>
    <col min="46" max="46" width="2.83203125" customWidth="1"/>
    <col min="47" max="47" width="4.1640625" customWidth="1"/>
    <col min="48" max="48" width="5.6640625" customWidth="1"/>
    <col min="49" max="49" width="3.1640625" bestFit="1" customWidth="1"/>
    <col min="50" max="50" width="5" customWidth="1"/>
    <col min="51" max="62" width="4.5" customWidth="1"/>
    <col min="63" max="63" width="4.6640625" customWidth="1"/>
    <col min="64" max="64" width="4.83203125" customWidth="1"/>
    <col min="66" max="66" width="3.33203125" customWidth="1"/>
    <col min="67" max="79" width="4.5" customWidth="1"/>
  </cols>
  <sheetData>
    <row r="1" spans="9:62" ht="16" customHeight="1"/>
    <row r="2" spans="9:62" ht="17" customHeight="1" thickBot="1"/>
    <row r="3" spans="9:62" ht="25" customHeight="1" thickBot="1">
      <c r="I3" s="7"/>
      <c r="J3" s="25" t="s">
        <v>155</v>
      </c>
      <c r="K3" s="232" t="s">
        <v>156</v>
      </c>
      <c r="N3" s="218" t="s">
        <v>157</v>
      </c>
      <c r="O3" s="218"/>
      <c r="AB3" s="208" t="s">
        <v>137</v>
      </c>
      <c r="AC3" s="209"/>
      <c r="AU3" s="207" t="s">
        <v>142</v>
      </c>
    </row>
    <row r="4" spans="9:62" ht="17" customHeight="1" thickBot="1">
      <c r="I4" s="7" t="s">
        <v>0</v>
      </c>
      <c r="J4" s="3">
        <v>45852</v>
      </c>
      <c r="K4" s="232"/>
      <c r="L4" t="s">
        <v>138</v>
      </c>
      <c r="M4" s="14"/>
      <c r="N4" s="218"/>
      <c r="O4" s="218"/>
      <c r="S4" s="35" t="s">
        <v>149</v>
      </c>
      <c r="AB4" s="209"/>
      <c r="AC4" s="209"/>
    </row>
    <row r="5" spans="9:62" ht="17" customHeight="1" thickBot="1">
      <c r="K5" s="232"/>
      <c r="L5" s="7" t="s">
        <v>2</v>
      </c>
      <c r="M5" s="4">
        <v>24</v>
      </c>
      <c r="N5" s="218"/>
      <c r="O5" s="218"/>
      <c r="S5" s="216" t="s">
        <v>56</v>
      </c>
      <c r="W5" s="66" t="s">
        <v>75</v>
      </c>
      <c r="X5" s="65" t="s">
        <v>73</v>
      </c>
      <c r="Y5" s="65" t="s">
        <v>71</v>
      </c>
      <c r="Z5" s="65" t="s">
        <v>126</v>
      </c>
      <c r="AA5" s="122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7"/>
      <c r="AV5" t="s">
        <v>135</v>
      </c>
      <c r="AY5" s="35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</row>
    <row r="6" spans="9:62" ht="17" thickBot="1">
      <c r="I6" s="210" t="s">
        <v>42</v>
      </c>
      <c r="J6" s="211"/>
      <c r="K6" s="232"/>
      <c r="N6" s="218"/>
      <c r="O6" s="218"/>
      <c r="S6" s="217"/>
      <c r="T6" s="40" t="s">
        <v>9</v>
      </c>
      <c r="U6" s="40" t="s">
        <v>10</v>
      </c>
      <c r="W6" s="18" t="s">
        <v>54</v>
      </c>
      <c r="X6" s="67" t="s">
        <v>72</v>
      </c>
      <c r="Y6" s="68">
        <v>399</v>
      </c>
      <c r="Z6" s="130">
        <v>45813</v>
      </c>
      <c r="AB6" s="36"/>
      <c r="AC6" s="86">
        <v>1</v>
      </c>
      <c r="AD6" s="94">
        <v>2</v>
      </c>
      <c r="AE6" s="99">
        <v>3</v>
      </c>
      <c r="AF6" s="95">
        <v>4</v>
      </c>
      <c r="AG6" s="95">
        <v>5</v>
      </c>
      <c r="AH6" s="95">
        <v>6</v>
      </c>
      <c r="AI6" s="95">
        <v>7</v>
      </c>
      <c r="AJ6" s="95">
        <v>8</v>
      </c>
      <c r="AK6" s="95">
        <v>9</v>
      </c>
      <c r="AL6" s="95">
        <v>10</v>
      </c>
      <c r="AM6" s="95">
        <v>11</v>
      </c>
      <c r="AN6" s="57">
        <v>12</v>
      </c>
      <c r="AU6" s="208" t="s">
        <v>134</v>
      </c>
      <c r="AV6" s="209"/>
      <c r="AX6" s="36"/>
      <c r="AY6" s="86">
        <v>1</v>
      </c>
      <c r="AZ6" s="94">
        <v>2</v>
      </c>
      <c r="BA6" s="99">
        <v>3</v>
      </c>
      <c r="BB6" s="95">
        <v>4</v>
      </c>
      <c r="BC6" s="95">
        <v>5</v>
      </c>
      <c r="BD6" s="95">
        <v>6</v>
      </c>
      <c r="BE6" s="95">
        <v>7</v>
      </c>
      <c r="BF6" s="95">
        <v>8</v>
      </c>
      <c r="BG6" s="95">
        <v>9</v>
      </c>
      <c r="BH6" s="95">
        <v>10</v>
      </c>
      <c r="BI6" s="95">
        <v>11</v>
      </c>
      <c r="BJ6" s="57">
        <v>12</v>
      </c>
    </row>
    <row r="7" spans="9:62" ht="17" customHeight="1" thickBot="1">
      <c r="I7" s="212"/>
      <c r="J7" s="213"/>
      <c r="K7" s="232"/>
      <c r="L7" s="214" t="s">
        <v>3</v>
      </c>
      <c r="M7" s="215"/>
      <c r="N7" s="218"/>
      <c r="O7" s="218"/>
      <c r="R7" s="26"/>
      <c r="S7" s="41" t="s">
        <v>41</v>
      </c>
      <c r="T7" s="42">
        <v>95</v>
      </c>
      <c r="U7" s="43">
        <v>8.3333333333333329E-2</v>
      </c>
      <c r="W7" s="18" t="s">
        <v>76</v>
      </c>
      <c r="X7" s="69" t="s">
        <v>66</v>
      </c>
      <c r="Y7" s="70">
        <v>478</v>
      </c>
      <c r="Z7" s="133">
        <v>45754</v>
      </c>
      <c r="AB7" s="115" t="s">
        <v>33</v>
      </c>
      <c r="AC7" s="93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U7" s="209"/>
      <c r="AV7" s="209"/>
      <c r="AX7" s="115" t="s">
        <v>33</v>
      </c>
      <c r="AY7" s="93"/>
      <c r="AZ7" s="138"/>
      <c r="BA7" s="138"/>
      <c r="BB7" s="138"/>
      <c r="BC7" s="138"/>
      <c r="BD7" s="138"/>
      <c r="BE7" s="138"/>
      <c r="BF7" s="138"/>
      <c r="BG7" s="138"/>
      <c r="BH7" s="138"/>
      <c r="BI7" s="93"/>
      <c r="BJ7" s="93"/>
    </row>
    <row r="8" spans="9:62" ht="18" customHeight="1" thickBot="1">
      <c r="K8" t="s">
        <v>7</v>
      </c>
      <c r="L8" s="5">
        <v>1</v>
      </c>
      <c r="M8" s="10">
        <v>27</v>
      </c>
      <c r="N8" s="219"/>
      <c r="O8" s="219"/>
      <c r="S8" s="45" t="s">
        <v>29</v>
      </c>
      <c r="T8" s="1">
        <v>95</v>
      </c>
      <c r="U8" s="107">
        <v>6.9444444444444441E-3</v>
      </c>
      <c r="W8" s="18" t="s">
        <v>77</v>
      </c>
      <c r="X8" s="71" t="s">
        <v>67</v>
      </c>
      <c r="Y8" s="72">
        <v>479</v>
      </c>
      <c r="Z8" s="134">
        <v>45754</v>
      </c>
      <c r="AB8" s="115" t="s">
        <v>34</v>
      </c>
      <c r="AC8" s="110"/>
      <c r="AD8" s="198">
        <v>6</v>
      </c>
      <c r="AE8" s="199">
        <v>6</v>
      </c>
      <c r="AF8" s="200">
        <v>6</v>
      </c>
      <c r="AG8" s="147"/>
      <c r="AH8" s="93"/>
      <c r="AI8" s="93"/>
      <c r="AJ8" s="93"/>
      <c r="AK8" s="93"/>
      <c r="AL8" s="93"/>
      <c r="AM8" s="93"/>
      <c r="AN8" s="93"/>
      <c r="AU8" t="s">
        <v>139</v>
      </c>
      <c r="AX8" s="115" t="s">
        <v>34</v>
      </c>
      <c r="AY8" s="110"/>
      <c r="AZ8" s="139">
        <v>6</v>
      </c>
      <c r="BA8" s="140">
        <v>6</v>
      </c>
      <c r="BB8" s="141">
        <v>6</v>
      </c>
      <c r="BC8" s="116">
        <v>6</v>
      </c>
      <c r="BD8" s="142">
        <v>6</v>
      </c>
      <c r="BE8" s="143">
        <v>6</v>
      </c>
      <c r="BF8" s="144">
        <v>6</v>
      </c>
      <c r="BG8" s="145">
        <v>6</v>
      </c>
      <c r="BH8" s="146">
        <v>6</v>
      </c>
      <c r="BI8" s="147"/>
      <c r="BJ8" s="93"/>
    </row>
    <row r="9" spans="9:62" ht="18" customHeight="1" thickBot="1">
      <c r="I9" s="8" t="s">
        <v>1</v>
      </c>
      <c r="J9" s="9" t="s">
        <v>21</v>
      </c>
      <c r="K9" s="9" t="s">
        <v>22</v>
      </c>
      <c r="L9" s="9" t="s">
        <v>12</v>
      </c>
      <c r="M9" s="22" t="s">
        <v>13</v>
      </c>
      <c r="N9" s="220" t="s">
        <v>23</v>
      </c>
      <c r="O9" s="221"/>
      <c r="Q9" s="31"/>
      <c r="S9" s="46" t="s">
        <v>30</v>
      </c>
      <c r="T9" s="238">
        <v>67</v>
      </c>
      <c r="U9" s="107">
        <v>3.4722222222222224E-2</v>
      </c>
      <c r="W9" s="18" t="s">
        <v>77</v>
      </c>
      <c r="X9" s="73" t="s">
        <v>68</v>
      </c>
      <c r="Y9" s="74">
        <v>480</v>
      </c>
      <c r="Z9" s="131">
        <v>45754</v>
      </c>
      <c r="AB9" s="115" t="s">
        <v>35</v>
      </c>
      <c r="AC9" s="110"/>
      <c r="AD9" s="201">
        <v>5</v>
      </c>
      <c r="AE9" s="202">
        <v>5</v>
      </c>
      <c r="AF9" s="203">
        <v>5</v>
      </c>
      <c r="AG9" s="147"/>
      <c r="AH9" s="93"/>
      <c r="AI9" s="93"/>
      <c r="AJ9" s="93"/>
      <c r="AK9" s="93"/>
      <c r="AL9" s="93"/>
      <c r="AM9" s="93"/>
      <c r="AN9" s="93"/>
      <c r="AX9" s="115" t="s">
        <v>35</v>
      </c>
      <c r="AY9" s="110"/>
      <c r="AZ9" s="148">
        <v>5</v>
      </c>
      <c r="BA9" s="149">
        <v>5</v>
      </c>
      <c r="BB9" s="150">
        <v>5</v>
      </c>
      <c r="BC9" s="151">
        <v>5</v>
      </c>
      <c r="BD9" s="152">
        <v>5</v>
      </c>
      <c r="BE9" s="153">
        <v>5</v>
      </c>
      <c r="BF9" s="154">
        <v>5</v>
      </c>
      <c r="BG9" s="155">
        <v>5</v>
      </c>
      <c r="BH9" s="156">
        <v>5</v>
      </c>
      <c r="BI9" s="147"/>
      <c r="BJ9" s="93"/>
    </row>
    <row r="10" spans="9:62" ht="18" customHeight="1" thickBot="1">
      <c r="I10" s="2" t="s">
        <v>4</v>
      </c>
      <c r="J10" s="1"/>
      <c r="K10" s="1"/>
      <c r="L10" s="81">
        <f>L19-SUM(L11:L18)</f>
        <v>2.1000000000000014</v>
      </c>
      <c r="M10" s="80">
        <f t="shared" ref="M10:M17" si="0">L10*$M$8</f>
        <v>56.700000000000038</v>
      </c>
      <c r="N10" s="27"/>
      <c r="O10" s="63" t="str">
        <f>I10</f>
        <v>Nuclease-free water</v>
      </c>
      <c r="R10" s="24"/>
      <c r="S10" s="47" t="s">
        <v>11</v>
      </c>
      <c r="T10" s="121">
        <v>50</v>
      </c>
      <c r="U10" s="108"/>
      <c r="W10" s="18" t="s">
        <v>77</v>
      </c>
      <c r="X10" s="75" t="s">
        <v>69</v>
      </c>
      <c r="Y10" s="76">
        <v>481</v>
      </c>
      <c r="Z10" s="136">
        <v>45769</v>
      </c>
      <c r="AB10" s="115" t="s">
        <v>36</v>
      </c>
      <c r="AC10" s="110"/>
      <c r="AD10" s="201">
        <v>4</v>
      </c>
      <c r="AE10" s="202">
        <v>4</v>
      </c>
      <c r="AF10" s="203">
        <v>4</v>
      </c>
      <c r="AG10" s="147"/>
      <c r="AH10" s="93"/>
      <c r="AI10" s="93"/>
      <c r="AJ10" s="93"/>
      <c r="AK10" s="93"/>
      <c r="AL10" s="93"/>
      <c r="AM10" s="93"/>
      <c r="AN10" s="93"/>
      <c r="AX10" s="115" t="s">
        <v>36</v>
      </c>
      <c r="AY10" s="110"/>
      <c r="AZ10" s="148">
        <v>4</v>
      </c>
      <c r="BA10" s="149">
        <v>4</v>
      </c>
      <c r="BB10" s="150">
        <v>4</v>
      </c>
      <c r="BC10" s="151">
        <v>4</v>
      </c>
      <c r="BD10" s="152">
        <v>4</v>
      </c>
      <c r="BE10" s="153">
        <v>4</v>
      </c>
      <c r="BF10" s="154">
        <v>4</v>
      </c>
      <c r="BG10" s="155">
        <v>4</v>
      </c>
      <c r="BH10" s="156">
        <v>4</v>
      </c>
      <c r="BI10" s="147"/>
      <c r="BJ10" s="93"/>
    </row>
    <row r="11" spans="9:62" ht="18" customHeight="1" thickBot="1">
      <c r="I11" s="2" t="s">
        <v>60</v>
      </c>
      <c r="J11" s="83" t="s">
        <v>74</v>
      </c>
      <c r="K11" s="1">
        <f>L40</f>
        <v>0.5</v>
      </c>
      <c r="L11" s="21">
        <f>L19*L40/K40</f>
        <v>0.2</v>
      </c>
      <c r="M11" s="23">
        <f t="shared" si="0"/>
        <v>5.4</v>
      </c>
      <c r="N11" s="27"/>
      <c r="O11" s="64" t="str">
        <f t="shared" ref="O11:O12" si="1">I11</f>
        <v>rpoB F Primer (MEP409)</v>
      </c>
      <c r="S11" s="109" t="s">
        <v>65</v>
      </c>
      <c r="T11" s="224" t="s">
        <v>150</v>
      </c>
      <c r="U11" s="225"/>
      <c r="W11" s="18" t="s">
        <v>78</v>
      </c>
      <c r="X11" s="77" t="s">
        <v>70</v>
      </c>
      <c r="Y11" s="78">
        <v>482</v>
      </c>
      <c r="Z11" s="137">
        <v>45770</v>
      </c>
      <c r="AB11" s="115" t="s">
        <v>37</v>
      </c>
      <c r="AC11" s="110"/>
      <c r="AD11" s="201">
        <v>3</v>
      </c>
      <c r="AE11" s="202">
        <v>3</v>
      </c>
      <c r="AF11" s="203">
        <v>3</v>
      </c>
      <c r="AG11" s="147"/>
      <c r="AH11" s="93"/>
      <c r="AI11" s="93"/>
      <c r="AJ11" s="93"/>
      <c r="AK11" s="93"/>
      <c r="AL11" s="93"/>
      <c r="AM11" s="93"/>
      <c r="AN11" s="93"/>
      <c r="AX11" s="115" t="s">
        <v>37</v>
      </c>
      <c r="AY11" s="110"/>
      <c r="AZ11" s="148">
        <v>3</v>
      </c>
      <c r="BA11" s="149">
        <v>3</v>
      </c>
      <c r="BB11" s="150">
        <v>3</v>
      </c>
      <c r="BC11" s="151">
        <v>3</v>
      </c>
      <c r="BD11" s="152">
        <v>3</v>
      </c>
      <c r="BE11" s="153">
        <v>3</v>
      </c>
      <c r="BF11" s="154">
        <v>3</v>
      </c>
      <c r="BG11" s="155">
        <v>3</v>
      </c>
      <c r="BH11" s="156">
        <v>3</v>
      </c>
      <c r="BI11" s="147"/>
      <c r="BJ11" s="138"/>
    </row>
    <row r="12" spans="9:62" ht="18" customHeight="1" thickBot="1">
      <c r="I12" s="233" t="s">
        <v>61</v>
      </c>
      <c r="J12" s="83" t="s">
        <v>103</v>
      </c>
      <c r="K12" s="1">
        <f>L41</f>
        <v>0.05</v>
      </c>
      <c r="L12" s="21">
        <f>L19*L41/K41</f>
        <v>0.2</v>
      </c>
      <c r="M12" s="23">
        <f t="shared" si="0"/>
        <v>5.4</v>
      </c>
      <c r="N12" s="27"/>
      <c r="O12" s="64" t="str">
        <f t="shared" si="1"/>
        <v>rpoB R Primer (MEP410)</v>
      </c>
      <c r="R12" s="24"/>
      <c r="S12" s="44" t="s">
        <v>43</v>
      </c>
      <c r="T12" s="228" t="s">
        <v>151</v>
      </c>
      <c r="U12" s="229"/>
      <c r="W12" s="18" t="s">
        <v>76</v>
      </c>
      <c r="X12" s="113" t="s">
        <v>110</v>
      </c>
      <c r="Y12" s="114">
        <v>618</v>
      </c>
      <c r="Z12" s="135">
        <v>45754</v>
      </c>
      <c r="AB12" s="115" t="s">
        <v>38</v>
      </c>
      <c r="AC12" s="110"/>
      <c r="AD12" s="201">
        <v>2</v>
      </c>
      <c r="AE12" s="202">
        <v>2</v>
      </c>
      <c r="AF12" s="203">
        <v>2</v>
      </c>
      <c r="AG12" s="147"/>
      <c r="AH12" s="93"/>
      <c r="AI12" s="93"/>
      <c r="AJ12" s="93"/>
      <c r="AK12" s="93"/>
      <c r="AL12" s="93"/>
      <c r="AM12" s="93"/>
      <c r="AN12" s="159" t="s">
        <v>108</v>
      </c>
      <c r="AX12" s="115" t="s">
        <v>38</v>
      </c>
      <c r="AY12" s="110"/>
      <c r="AZ12" s="157">
        <v>2</v>
      </c>
      <c r="BA12" s="149">
        <v>2</v>
      </c>
      <c r="BB12" s="150">
        <v>2</v>
      </c>
      <c r="BC12" s="151">
        <v>2</v>
      </c>
      <c r="BD12" s="152">
        <v>2</v>
      </c>
      <c r="BE12" s="153">
        <v>2</v>
      </c>
      <c r="BF12" s="154">
        <v>2</v>
      </c>
      <c r="BG12" s="155">
        <v>2</v>
      </c>
      <c r="BH12" s="156">
        <v>2</v>
      </c>
      <c r="BI12" s="158"/>
      <c r="BJ12" s="159" t="s">
        <v>108</v>
      </c>
    </row>
    <row r="13" spans="9:62" ht="17" customHeight="1" thickBot="1">
      <c r="I13" s="2" t="s">
        <v>45</v>
      </c>
      <c r="J13" s="20" t="s">
        <v>26</v>
      </c>
      <c r="K13" s="20" t="s">
        <v>24</v>
      </c>
      <c r="L13" s="21">
        <f>L19/2</f>
        <v>10</v>
      </c>
      <c r="M13" s="23">
        <f t="shared" si="0"/>
        <v>270</v>
      </c>
      <c r="N13" s="27"/>
      <c r="O13" s="64" t="str">
        <f>I13</f>
        <v>SensiFAST Probe No-ROX Kit</v>
      </c>
      <c r="R13" s="24"/>
      <c r="S13" s="239" t="s">
        <v>152</v>
      </c>
      <c r="T13" s="239"/>
      <c r="U13" s="239"/>
      <c r="W13" s="18" t="s">
        <v>54</v>
      </c>
      <c r="X13" s="84" t="s">
        <v>27</v>
      </c>
      <c r="Y13" s="85" t="s">
        <v>91</v>
      </c>
      <c r="Z13" s="85" t="s">
        <v>54</v>
      </c>
      <c r="AB13" s="115" t="s">
        <v>39</v>
      </c>
      <c r="AC13" s="110"/>
      <c r="AD13" s="201">
        <v>1</v>
      </c>
      <c r="AE13" s="202">
        <v>1</v>
      </c>
      <c r="AF13" s="203">
        <v>1</v>
      </c>
      <c r="AG13" s="147"/>
      <c r="AH13" s="93"/>
      <c r="AI13" s="93"/>
      <c r="AJ13" s="93"/>
      <c r="AK13" s="93"/>
      <c r="AL13" s="93"/>
      <c r="AM13" s="93"/>
      <c r="AN13" s="160" t="s">
        <v>108</v>
      </c>
      <c r="AX13" s="115" t="s">
        <v>39</v>
      </c>
      <c r="AY13" s="110"/>
      <c r="AZ13" s="148">
        <v>1</v>
      </c>
      <c r="BA13" s="149">
        <v>1</v>
      </c>
      <c r="BB13" s="150">
        <v>1</v>
      </c>
      <c r="BC13" s="151">
        <v>1</v>
      </c>
      <c r="BD13" s="152">
        <v>1</v>
      </c>
      <c r="BE13" s="153">
        <v>1</v>
      </c>
      <c r="BF13" s="154">
        <v>1</v>
      </c>
      <c r="BG13" s="155">
        <v>1</v>
      </c>
      <c r="BH13" s="156">
        <v>1</v>
      </c>
      <c r="BI13" s="158"/>
      <c r="BJ13" s="160" t="s">
        <v>108</v>
      </c>
    </row>
    <row r="14" spans="9:62" ht="18" customHeight="1" thickBot="1">
      <c r="I14" s="2" t="s">
        <v>44</v>
      </c>
      <c r="J14" s="20" t="s">
        <v>46</v>
      </c>
      <c r="K14" s="20" t="s">
        <v>26</v>
      </c>
      <c r="L14" s="21">
        <f>L19*2/10</f>
        <v>4</v>
      </c>
      <c r="M14" s="97">
        <f t="shared" si="0"/>
        <v>108</v>
      </c>
      <c r="N14" s="27"/>
      <c r="O14" s="98" t="str">
        <f>I14</f>
        <v>LC Green Plus</v>
      </c>
      <c r="R14" s="24"/>
      <c r="S14" s="216"/>
      <c r="T14" s="216"/>
      <c r="U14" s="216"/>
      <c r="W14" s="33"/>
      <c r="AB14" s="115" t="s">
        <v>40</v>
      </c>
      <c r="AC14" s="110"/>
      <c r="AD14" s="204">
        <v>0</v>
      </c>
      <c r="AE14" s="205">
        <v>0</v>
      </c>
      <c r="AF14" s="206">
        <v>0</v>
      </c>
      <c r="AG14" s="147"/>
      <c r="AH14" s="93"/>
      <c r="AI14" s="93"/>
      <c r="AJ14" s="93"/>
      <c r="AK14" s="93"/>
      <c r="AL14" s="93"/>
      <c r="AM14" s="93"/>
      <c r="AN14" s="170" t="s">
        <v>108</v>
      </c>
      <c r="AX14" s="115" t="s">
        <v>40</v>
      </c>
      <c r="AY14" s="110"/>
      <c r="AZ14" s="161">
        <v>0</v>
      </c>
      <c r="BA14" s="162">
        <v>0</v>
      </c>
      <c r="BB14" s="163">
        <v>0</v>
      </c>
      <c r="BC14" s="164">
        <v>0</v>
      </c>
      <c r="BD14" s="165">
        <v>0</v>
      </c>
      <c r="BE14" s="166">
        <v>0</v>
      </c>
      <c r="BF14" s="167">
        <v>0</v>
      </c>
      <c r="BG14" s="168">
        <v>0</v>
      </c>
      <c r="BH14" s="169">
        <v>0</v>
      </c>
      <c r="BI14" s="158"/>
      <c r="BJ14" s="170" t="s">
        <v>108</v>
      </c>
    </row>
    <row r="15" spans="9:62" ht="18" customHeight="1" thickBot="1">
      <c r="I15" s="234"/>
      <c r="J15" s="235"/>
      <c r="K15" s="235"/>
      <c r="L15" s="236"/>
      <c r="M15" s="237"/>
      <c r="N15" s="234"/>
      <c r="O15" s="96"/>
      <c r="S15" s="216"/>
      <c r="T15" s="216"/>
      <c r="U15" s="216"/>
      <c r="W15" s="230" t="s">
        <v>94</v>
      </c>
      <c r="X15" s="222" t="s">
        <v>106</v>
      </c>
      <c r="Y15" s="222" t="s">
        <v>107</v>
      </c>
      <c r="AC15" s="33"/>
      <c r="AD15">
        <v>1</v>
      </c>
      <c r="AE15" t="s">
        <v>89</v>
      </c>
      <c r="AF15" s="32"/>
      <c r="AG15" s="32"/>
      <c r="AH15" s="32"/>
      <c r="AJ15" s="19"/>
      <c r="AN15" s="33"/>
    </row>
    <row r="16" spans="9:62" ht="17" thickBot="1">
      <c r="I16" s="104" t="s">
        <v>104</v>
      </c>
      <c r="J16" s="59" t="s">
        <v>25</v>
      </c>
      <c r="K16" s="59">
        <v>0.25</v>
      </c>
      <c r="L16" s="105">
        <f>L19*K16/10</f>
        <v>0.5</v>
      </c>
      <c r="M16" s="106">
        <f t="shared" si="0"/>
        <v>13.5</v>
      </c>
      <c r="N16" s="104" t="s">
        <v>113</v>
      </c>
      <c r="W16" s="231"/>
      <c r="X16" s="223"/>
      <c r="Y16" s="223"/>
      <c r="AA16" s="128"/>
      <c r="AB16" s="82"/>
      <c r="AD16">
        <v>2</v>
      </c>
      <c r="AE16" t="s">
        <v>90</v>
      </c>
      <c r="AF16" s="56"/>
      <c r="AV16" t="s">
        <v>135</v>
      </c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7"/>
    </row>
    <row r="17" spans="9:67" ht="17" customHeight="1" thickBot="1">
      <c r="I17" s="101" t="s">
        <v>105</v>
      </c>
      <c r="J17" s="59" t="str">
        <f>J16</f>
        <v>10 uM</v>
      </c>
      <c r="K17" s="59">
        <v>0.5</v>
      </c>
      <c r="L17" s="102">
        <f>L19*K17/10</f>
        <v>1</v>
      </c>
      <c r="M17" s="103">
        <f t="shared" si="0"/>
        <v>27</v>
      </c>
      <c r="N17" s="101" t="s">
        <v>114</v>
      </c>
      <c r="S17" s="240" t="s">
        <v>153</v>
      </c>
      <c r="T17" s="240"/>
      <c r="U17" s="240"/>
      <c r="W17" s="241" t="s">
        <v>130</v>
      </c>
      <c r="X17" s="100">
        <f>M16</f>
        <v>13.5</v>
      </c>
      <c r="Y17" s="100">
        <f>M17</f>
        <v>27</v>
      </c>
      <c r="AA17" s="128"/>
      <c r="AF17" s="19"/>
      <c r="AH17" s="56"/>
      <c r="AU17" s="208" t="s">
        <v>136</v>
      </c>
      <c r="AV17" s="209"/>
      <c r="AX17" s="36"/>
      <c r="AY17" s="86">
        <v>1</v>
      </c>
      <c r="AZ17" s="94">
        <v>2</v>
      </c>
      <c r="BA17" s="99">
        <v>3</v>
      </c>
      <c r="BB17" s="95">
        <v>4</v>
      </c>
      <c r="BC17" s="95">
        <v>5</v>
      </c>
      <c r="BD17" s="95">
        <v>6</v>
      </c>
      <c r="BE17" s="95">
        <v>7</v>
      </c>
      <c r="BF17" s="95">
        <v>8</v>
      </c>
      <c r="BG17" s="95">
        <v>9</v>
      </c>
      <c r="BH17" s="95">
        <v>10</v>
      </c>
      <c r="BI17" s="95">
        <v>11</v>
      </c>
      <c r="BJ17" s="57">
        <v>12</v>
      </c>
      <c r="BO17" s="120"/>
    </row>
    <row r="18" spans="9:67" ht="16" customHeight="1" thickBot="1">
      <c r="I18" s="29" t="s">
        <v>127</v>
      </c>
      <c r="J18" s="59" t="s">
        <v>59</v>
      </c>
      <c r="K18" s="58"/>
      <c r="L18" s="60">
        <v>2</v>
      </c>
      <c r="M18" s="61" t="s">
        <v>5</v>
      </c>
      <c r="N18" s="29" t="s">
        <v>32</v>
      </c>
      <c r="Q18" s="38"/>
      <c r="S18" s="226" t="s">
        <v>154</v>
      </c>
      <c r="T18" s="226"/>
      <c r="U18" s="226"/>
      <c r="AA18" s="129"/>
      <c r="AD18">
        <v>3</v>
      </c>
      <c r="AE18" t="s">
        <v>79</v>
      </c>
      <c r="AU18" s="209"/>
      <c r="AV18" s="209"/>
      <c r="AX18" s="115" t="s">
        <v>33</v>
      </c>
      <c r="AY18" s="93"/>
      <c r="AZ18" s="138"/>
      <c r="BA18" s="138"/>
      <c r="BB18" s="138"/>
      <c r="BC18" s="138"/>
      <c r="BD18" s="138"/>
      <c r="BE18" s="138"/>
      <c r="BF18" s="138"/>
      <c r="BG18" s="138"/>
      <c r="BH18" s="138"/>
      <c r="BI18" s="93"/>
      <c r="BJ18" s="93"/>
    </row>
    <row r="19" spans="9:67" ht="17" thickBot="1">
      <c r="K19" s="15" t="s">
        <v>8</v>
      </c>
      <c r="L19" s="16">
        <v>20</v>
      </c>
      <c r="M19" s="17"/>
      <c r="P19" s="38"/>
      <c r="S19" s="227"/>
      <c r="T19" s="227"/>
      <c r="U19" s="227"/>
      <c r="AA19" s="129"/>
      <c r="AD19">
        <v>4</v>
      </c>
      <c r="AE19" s="19" t="s">
        <v>80</v>
      </c>
      <c r="AU19" t="s">
        <v>140</v>
      </c>
      <c r="AX19" s="115" t="s">
        <v>34</v>
      </c>
      <c r="AY19" s="110"/>
      <c r="AZ19" s="171">
        <v>6</v>
      </c>
      <c r="BA19" s="172">
        <v>6</v>
      </c>
      <c r="BB19" s="173">
        <v>6</v>
      </c>
      <c r="BC19" s="181">
        <v>6</v>
      </c>
      <c r="BD19" s="182">
        <v>6</v>
      </c>
      <c r="BE19" s="183">
        <v>6</v>
      </c>
      <c r="BF19" s="119">
        <v>6</v>
      </c>
      <c r="BG19" s="190">
        <v>6</v>
      </c>
      <c r="BH19" s="191">
        <v>6</v>
      </c>
      <c r="BI19" s="147"/>
      <c r="BJ19" s="93"/>
    </row>
    <row r="20" spans="9:67" ht="16" customHeight="1" thickBot="1">
      <c r="I20" t="s">
        <v>28</v>
      </c>
      <c r="K20" s="2" t="s">
        <v>7</v>
      </c>
      <c r="L20" s="88">
        <f>SUM(L10:L18)</f>
        <v>20</v>
      </c>
      <c r="M20" s="28">
        <f>SUM(M10:M16)</f>
        <v>459.00000000000006</v>
      </c>
      <c r="P20" s="31"/>
      <c r="S20" s="79"/>
      <c r="T20" s="79"/>
      <c r="U20" s="79"/>
      <c r="AA20" s="129"/>
      <c r="AX20" s="115" t="s">
        <v>35</v>
      </c>
      <c r="AY20" s="110"/>
      <c r="AZ20" s="174">
        <v>5</v>
      </c>
      <c r="BA20" s="175">
        <v>5</v>
      </c>
      <c r="BB20" s="176">
        <v>5</v>
      </c>
      <c r="BC20" s="184">
        <v>5</v>
      </c>
      <c r="BD20" s="185">
        <v>5</v>
      </c>
      <c r="BE20" s="186">
        <v>5</v>
      </c>
      <c r="BF20" s="192">
        <v>5</v>
      </c>
      <c r="BG20" s="193">
        <v>5</v>
      </c>
      <c r="BH20" s="194">
        <v>5</v>
      </c>
      <c r="BI20" s="147"/>
      <c r="BJ20" s="93"/>
    </row>
    <row r="21" spans="9:67" ht="17" thickBot="1">
      <c r="I21" t="s">
        <v>31</v>
      </c>
      <c r="K21" s="5" t="s">
        <v>6</v>
      </c>
      <c r="L21" s="6"/>
      <c r="M21" s="87">
        <f>SUM(L10:L15)</f>
        <v>16.5</v>
      </c>
      <c r="P21" s="39"/>
      <c r="S21" s="20" t="s">
        <v>116</v>
      </c>
      <c r="T21" s="123" t="s">
        <v>117</v>
      </c>
      <c r="U21" s="123" t="s">
        <v>0</v>
      </c>
      <c r="X21" s="19"/>
      <c r="AA21" s="129"/>
      <c r="AX21" s="115" t="s">
        <v>36</v>
      </c>
      <c r="AY21" s="110"/>
      <c r="AZ21" s="174">
        <v>4</v>
      </c>
      <c r="BA21" s="175">
        <v>4</v>
      </c>
      <c r="BB21" s="176">
        <v>4</v>
      </c>
      <c r="BC21" s="184">
        <v>4</v>
      </c>
      <c r="BD21" s="185">
        <v>4</v>
      </c>
      <c r="BE21" s="186">
        <v>4</v>
      </c>
      <c r="BF21" s="192">
        <v>4</v>
      </c>
      <c r="BG21" s="193">
        <v>4</v>
      </c>
      <c r="BH21" s="194">
        <v>4</v>
      </c>
      <c r="BI21" s="147"/>
      <c r="BJ21" s="93"/>
    </row>
    <row r="22" spans="9:67" ht="16" customHeight="1" thickBot="1">
      <c r="I22" t="s">
        <v>84</v>
      </c>
      <c r="O22" s="11"/>
      <c r="P22" s="31"/>
      <c r="S22" s="20" t="s">
        <v>120</v>
      </c>
      <c r="T22" s="123" t="s">
        <v>121</v>
      </c>
      <c r="U22" s="124">
        <v>45845</v>
      </c>
      <c r="AX22" s="115" t="s">
        <v>37</v>
      </c>
      <c r="AY22" s="110"/>
      <c r="AZ22" s="174">
        <v>3</v>
      </c>
      <c r="BA22" s="175">
        <v>3</v>
      </c>
      <c r="BB22" s="176">
        <v>3</v>
      </c>
      <c r="BC22" s="184">
        <v>3</v>
      </c>
      <c r="BD22" s="185">
        <v>3</v>
      </c>
      <c r="BE22" s="186">
        <v>3</v>
      </c>
      <c r="BF22" s="192">
        <v>3</v>
      </c>
      <c r="BG22" s="193">
        <v>3</v>
      </c>
      <c r="BH22" s="194">
        <v>3</v>
      </c>
      <c r="BI22" s="147"/>
      <c r="BJ22" s="138"/>
      <c r="BN22" s="34"/>
    </row>
    <row r="23" spans="9:67" ht="17" thickBot="1">
      <c r="I23" t="s">
        <v>57</v>
      </c>
      <c r="J23" t="s">
        <v>64</v>
      </c>
      <c r="K23" t="s">
        <v>148</v>
      </c>
      <c r="S23" s="20" t="s">
        <v>122</v>
      </c>
      <c r="T23" s="123" t="s">
        <v>121</v>
      </c>
      <c r="U23" s="124">
        <v>45845</v>
      </c>
      <c r="W23" s="35"/>
      <c r="X23" s="19"/>
      <c r="AX23" s="115" t="s">
        <v>38</v>
      </c>
      <c r="AY23" s="110"/>
      <c r="AZ23" s="177">
        <v>2</v>
      </c>
      <c r="BA23" s="175">
        <v>2</v>
      </c>
      <c r="BB23" s="176">
        <v>2</v>
      </c>
      <c r="BC23" s="184">
        <v>2</v>
      </c>
      <c r="BD23" s="185">
        <v>2</v>
      </c>
      <c r="BE23" s="186">
        <v>2</v>
      </c>
      <c r="BF23" s="192">
        <v>2</v>
      </c>
      <c r="BG23" s="193">
        <v>2</v>
      </c>
      <c r="BH23" s="194">
        <v>2</v>
      </c>
      <c r="BI23" s="158"/>
      <c r="BJ23" s="159" t="s">
        <v>108</v>
      </c>
    </row>
    <row r="24" spans="9:67" ht="17" thickBot="1">
      <c r="I24" t="s">
        <v>102</v>
      </c>
      <c r="Q24" s="11"/>
      <c r="W24" s="19"/>
      <c r="X24" s="19"/>
      <c r="AX24" s="115" t="s">
        <v>39</v>
      </c>
      <c r="AY24" s="110"/>
      <c r="AZ24" s="174">
        <v>1</v>
      </c>
      <c r="BA24" s="175">
        <v>1</v>
      </c>
      <c r="BB24" s="176">
        <v>1</v>
      </c>
      <c r="BC24" s="184">
        <v>1</v>
      </c>
      <c r="BD24" s="185">
        <v>1</v>
      </c>
      <c r="BE24" s="186">
        <v>1</v>
      </c>
      <c r="BF24" s="192">
        <v>1</v>
      </c>
      <c r="BG24" s="193">
        <v>1</v>
      </c>
      <c r="BH24" s="194">
        <v>1</v>
      </c>
      <c r="BI24" s="158"/>
      <c r="BJ24" s="160" t="s">
        <v>108</v>
      </c>
    </row>
    <row r="25" spans="9:67" ht="17" thickBot="1">
      <c r="I25" t="s">
        <v>123</v>
      </c>
      <c r="S25" s="35"/>
      <c r="W25" s="19"/>
      <c r="AX25" s="115" t="s">
        <v>40</v>
      </c>
      <c r="AY25" s="110"/>
      <c r="AZ25" s="178">
        <v>0</v>
      </c>
      <c r="BA25" s="179">
        <v>0</v>
      </c>
      <c r="BB25" s="180">
        <v>0</v>
      </c>
      <c r="BC25" s="187">
        <v>0</v>
      </c>
      <c r="BD25" s="188">
        <v>0</v>
      </c>
      <c r="BE25" s="189">
        <v>0</v>
      </c>
      <c r="BF25" s="195">
        <v>0</v>
      </c>
      <c r="BG25" s="196">
        <v>0</v>
      </c>
      <c r="BH25" s="197">
        <v>0</v>
      </c>
      <c r="BI25" s="158"/>
      <c r="BJ25" s="170" t="s">
        <v>108</v>
      </c>
    </row>
    <row r="26" spans="9:67" ht="17" customHeight="1">
      <c r="I26" t="s">
        <v>124</v>
      </c>
    </row>
    <row r="27" spans="9:67">
      <c r="I27" t="s">
        <v>133</v>
      </c>
      <c r="AV27" t="s">
        <v>138</v>
      </c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7"/>
    </row>
    <row r="28" spans="9:67" ht="16" customHeight="1" thickBot="1">
      <c r="I28" s="19" t="s">
        <v>85</v>
      </c>
      <c r="AU28" s="208" t="s">
        <v>137</v>
      </c>
      <c r="AV28" s="209"/>
      <c r="AX28" s="36"/>
      <c r="AY28" s="86">
        <v>1</v>
      </c>
      <c r="AZ28" s="94">
        <v>2</v>
      </c>
      <c r="BA28" s="99">
        <v>3</v>
      </c>
      <c r="BB28" s="95">
        <v>4</v>
      </c>
      <c r="BC28" s="95">
        <v>5</v>
      </c>
      <c r="BD28" s="95">
        <v>6</v>
      </c>
      <c r="BE28" s="95">
        <v>7</v>
      </c>
      <c r="BF28" s="95">
        <v>8</v>
      </c>
      <c r="BG28" s="95">
        <v>9</v>
      </c>
      <c r="BH28" s="95">
        <v>10</v>
      </c>
      <c r="BI28" s="95">
        <v>11</v>
      </c>
      <c r="BJ28" s="57">
        <v>12</v>
      </c>
    </row>
    <row r="29" spans="9:67" ht="15" customHeight="1" thickBot="1">
      <c r="I29" t="s">
        <v>99</v>
      </c>
      <c r="K29" s="34"/>
      <c r="L29" s="89"/>
      <c r="M29" s="34"/>
      <c r="R29" s="24"/>
      <c r="S29" s="125" t="s">
        <v>118</v>
      </c>
      <c r="T29" s="126" t="s">
        <v>119</v>
      </c>
      <c r="U29" s="127" t="s">
        <v>147</v>
      </c>
      <c r="AU29" s="209"/>
      <c r="AV29" s="209"/>
      <c r="AX29" s="115" t="s">
        <v>33</v>
      </c>
      <c r="AY29" s="93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</row>
    <row r="30" spans="9:67" ht="17" thickBot="1">
      <c r="I30" t="s">
        <v>131</v>
      </c>
      <c r="K30" s="34"/>
      <c r="L30" s="34"/>
      <c r="M30" s="34"/>
      <c r="N30" s="34"/>
      <c r="W30" t="s">
        <v>129</v>
      </c>
      <c r="AU30" t="s">
        <v>141</v>
      </c>
      <c r="AX30" s="115" t="s">
        <v>34</v>
      </c>
      <c r="AY30" s="110"/>
      <c r="AZ30" s="198">
        <v>6</v>
      </c>
      <c r="BA30" s="199">
        <v>6</v>
      </c>
      <c r="BB30" s="200">
        <v>6</v>
      </c>
      <c r="BC30" s="147"/>
      <c r="BD30" s="93"/>
      <c r="BE30" s="93"/>
      <c r="BF30" s="93"/>
      <c r="BG30" s="93"/>
      <c r="BH30" s="93"/>
      <c r="BI30" s="93"/>
      <c r="BJ30" s="93"/>
    </row>
    <row r="31" spans="9:67" ht="17" thickBot="1">
      <c r="I31" t="s">
        <v>132</v>
      </c>
      <c r="W31" s="18" t="s">
        <v>76</v>
      </c>
      <c r="X31" s="111" t="s">
        <v>111</v>
      </c>
      <c r="Y31" s="112">
        <v>619</v>
      </c>
      <c r="Z31" s="132">
        <v>45754</v>
      </c>
      <c r="AX31" s="115" t="s">
        <v>35</v>
      </c>
      <c r="AY31" s="110"/>
      <c r="AZ31" s="201">
        <v>5</v>
      </c>
      <c r="BA31" s="202">
        <v>5</v>
      </c>
      <c r="BB31" s="203">
        <v>5</v>
      </c>
      <c r="BC31" s="147"/>
      <c r="BD31" s="93"/>
      <c r="BE31" s="93"/>
      <c r="BF31" s="93"/>
      <c r="BG31" s="93"/>
      <c r="BH31" s="93"/>
      <c r="BI31" s="93"/>
      <c r="BJ31" s="93"/>
    </row>
    <row r="32" spans="9:67" ht="17" thickBot="1">
      <c r="I32" t="s">
        <v>109</v>
      </c>
      <c r="AX32" s="115" t="s">
        <v>36</v>
      </c>
      <c r="AY32" s="110"/>
      <c r="AZ32" s="201">
        <v>4</v>
      </c>
      <c r="BA32" s="202">
        <v>4</v>
      </c>
      <c r="BB32" s="203">
        <v>4</v>
      </c>
      <c r="BC32" s="147"/>
      <c r="BD32" s="93"/>
      <c r="BE32" s="93"/>
      <c r="BF32" s="93"/>
      <c r="BG32" s="93"/>
      <c r="BH32" s="93"/>
      <c r="BI32" s="93"/>
      <c r="BJ32" s="93"/>
    </row>
    <row r="33" spans="9:62" ht="17" thickBot="1">
      <c r="I33" t="s">
        <v>115</v>
      </c>
      <c r="AX33" s="115" t="s">
        <v>37</v>
      </c>
      <c r="AY33" s="110"/>
      <c r="AZ33" s="201">
        <v>3</v>
      </c>
      <c r="BA33" s="202">
        <v>3</v>
      </c>
      <c r="BB33" s="203">
        <v>3</v>
      </c>
      <c r="BC33" s="147"/>
      <c r="BD33" s="93"/>
      <c r="BE33" s="93"/>
      <c r="BF33" s="93"/>
      <c r="BG33" s="93"/>
      <c r="BH33" s="93"/>
      <c r="BI33" s="93"/>
      <c r="BJ33" s="93"/>
    </row>
    <row r="34" spans="9:62" ht="17" thickBot="1">
      <c r="I34" t="s">
        <v>112</v>
      </c>
      <c r="AX34" s="115" t="s">
        <v>38</v>
      </c>
      <c r="AY34" s="110"/>
      <c r="AZ34" s="201">
        <v>2</v>
      </c>
      <c r="BA34" s="202">
        <v>2</v>
      </c>
      <c r="BB34" s="203">
        <v>2</v>
      </c>
      <c r="BC34" s="147"/>
      <c r="BD34" s="93"/>
      <c r="BE34" s="93"/>
      <c r="BF34" s="93"/>
      <c r="BG34" s="93"/>
      <c r="BH34" s="93"/>
      <c r="BI34" s="93"/>
      <c r="BJ34" s="159" t="s">
        <v>108</v>
      </c>
    </row>
    <row r="35" spans="9:62" ht="17" thickBot="1">
      <c r="I35" t="s">
        <v>146</v>
      </c>
      <c r="AX35" s="115" t="s">
        <v>39</v>
      </c>
      <c r="AY35" s="110"/>
      <c r="AZ35" s="201">
        <v>1</v>
      </c>
      <c r="BA35" s="202">
        <v>1</v>
      </c>
      <c r="BB35" s="203">
        <v>1</v>
      </c>
      <c r="BC35" s="147"/>
      <c r="BD35" s="93"/>
      <c r="BE35" s="93"/>
      <c r="BF35" s="93"/>
      <c r="BG35" s="93"/>
      <c r="BH35" s="93"/>
      <c r="BI35" s="93"/>
      <c r="BJ35" s="160" t="s">
        <v>108</v>
      </c>
    </row>
    <row r="36" spans="9:62" ht="17" thickBot="1">
      <c r="I36" t="s">
        <v>125</v>
      </c>
      <c r="AX36" s="115" t="s">
        <v>40</v>
      </c>
      <c r="AY36" s="110"/>
      <c r="AZ36" s="204">
        <v>0</v>
      </c>
      <c r="BA36" s="205">
        <v>0</v>
      </c>
      <c r="BB36" s="206">
        <v>0</v>
      </c>
      <c r="BC36" s="147"/>
      <c r="BD36" s="93"/>
      <c r="BE36" s="93"/>
      <c r="BF36" s="93"/>
      <c r="BG36" s="93"/>
      <c r="BH36" s="93"/>
      <c r="BI36" s="93"/>
      <c r="BJ36" s="170" t="s">
        <v>108</v>
      </c>
    </row>
    <row r="37" spans="9:62">
      <c r="I37" t="s">
        <v>128</v>
      </c>
    </row>
    <row r="38" spans="9:62" ht="16" customHeight="1">
      <c r="I38" s="19"/>
    </row>
    <row r="39" spans="9:62" ht="24">
      <c r="I39" s="11" t="s">
        <v>1</v>
      </c>
      <c r="J39" s="11" t="s">
        <v>17</v>
      </c>
      <c r="K39" s="11" t="s">
        <v>18</v>
      </c>
      <c r="L39" s="11" t="s">
        <v>20</v>
      </c>
      <c r="M39" s="11" t="s">
        <v>19</v>
      </c>
      <c r="N39" s="11"/>
      <c r="O39" s="13" t="s">
        <v>16</v>
      </c>
      <c r="Q39" s="30" t="s">
        <v>14</v>
      </c>
      <c r="R39" s="11" t="s">
        <v>15</v>
      </c>
      <c r="AU39" s="207" t="s">
        <v>143</v>
      </c>
    </row>
    <row r="40" spans="9:62">
      <c r="I40" s="2" t="s">
        <v>62</v>
      </c>
      <c r="J40" s="1">
        <v>100</v>
      </c>
      <c r="K40" s="1">
        <v>50</v>
      </c>
      <c r="L40" s="1">
        <v>0.5</v>
      </c>
      <c r="M40" s="1">
        <f>L40*1000</f>
        <v>500</v>
      </c>
      <c r="N40" s="1"/>
      <c r="O40" s="1">
        <f>($L$19*L40)/K40</f>
        <v>0.2</v>
      </c>
      <c r="Q40" s="37"/>
      <c r="R40" s="12"/>
    </row>
    <row r="41" spans="9:62" ht="17">
      <c r="I41" s="2" t="s">
        <v>63</v>
      </c>
      <c r="J41" s="1">
        <v>100</v>
      </c>
      <c r="K41" s="1">
        <v>5</v>
      </c>
      <c r="L41" s="1">
        <v>0.05</v>
      </c>
      <c r="M41" s="1">
        <f t="shared" ref="M41" si="2">L41*1000</f>
        <v>50</v>
      </c>
      <c r="N41" s="1"/>
      <c r="O41" s="1">
        <f>($L$19*L41)/K41</f>
        <v>0.2</v>
      </c>
      <c r="P41" s="48"/>
      <c r="Q41" s="37"/>
      <c r="R41" s="12"/>
      <c r="AV41" t="s">
        <v>135</v>
      </c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7"/>
    </row>
    <row r="42" spans="9:62" ht="18" thickBot="1">
      <c r="P42" s="55"/>
      <c r="AU42" s="208" t="s">
        <v>136</v>
      </c>
      <c r="AV42" s="209"/>
      <c r="AX42" s="36"/>
      <c r="AY42" s="86">
        <v>1</v>
      </c>
      <c r="AZ42" s="94">
        <v>2</v>
      </c>
      <c r="BA42" s="99">
        <v>3</v>
      </c>
      <c r="BB42" s="95">
        <v>4</v>
      </c>
      <c r="BC42" s="95">
        <v>5</v>
      </c>
      <c r="BD42" s="95">
        <v>6</v>
      </c>
      <c r="BE42" s="95">
        <v>7</v>
      </c>
      <c r="BF42" s="95">
        <v>8</v>
      </c>
      <c r="BG42" s="95">
        <v>9</v>
      </c>
      <c r="BH42" s="95">
        <v>10</v>
      </c>
      <c r="BI42" s="95">
        <v>11</v>
      </c>
      <c r="BJ42" s="57">
        <v>12</v>
      </c>
    </row>
    <row r="43" spans="9:62" ht="55" thickBot="1">
      <c r="I43" s="48" t="s">
        <v>47</v>
      </c>
      <c r="J43" s="48" t="s">
        <v>48</v>
      </c>
      <c r="K43" s="48" t="s">
        <v>49</v>
      </c>
      <c r="L43" s="48" t="s">
        <v>50</v>
      </c>
      <c r="M43" s="48" t="s">
        <v>51</v>
      </c>
      <c r="N43" s="48" t="s">
        <v>52</v>
      </c>
      <c r="O43" s="48" t="s">
        <v>53</v>
      </c>
      <c r="P43" s="55"/>
      <c r="Q43" s="48"/>
      <c r="R43" s="48"/>
      <c r="AU43" s="209"/>
      <c r="AV43" s="209"/>
      <c r="AX43" s="115" t="s">
        <v>33</v>
      </c>
      <c r="AY43" s="93"/>
      <c r="AZ43" s="138"/>
      <c r="BA43" s="138"/>
      <c r="BB43" s="138"/>
      <c r="BC43" s="138"/>
      <c r="BD43" s="138"/>
      <c r="BE43" s="138"/>
      <c r="BF43" s="138"/>
      <c r="BG43" s="138"/>
      <c r="BH43" s="138"/>
      <c r="BI43" s="93"/>
      <c r="BJ43" s="93"/>
    </row>
    <row r="44" spans="9:62" ht="18" thickBot="1">
      <c r="I44" s="49"/>
      <c r="J44" s="50"/>
      <c r="K44" s="51"/>
      <c r="L44" s="51"/>
      <c r="M44" s="52"/>
      <c r="N44" s="53"/>
      <c r="O44" s="55"/>
      <c r="Q44" s="55"/>
      <c r="R44" s="55"/>
      <c r="AU44" t="s">
        <v>144</v>
      </c>
      <c r="AX44" s="115" t="s">
        <v>34</v>
      </c>
      <c r="AY44" s="110"/>
      <c r="AZ44" s="171">
        <v>6</v>
      </c>
      <c r="BA44" s="172">
        <v>6</v>
      </c>
      <c r="BB44" s="173">
        <v>6</v>
      </c>
      <c r="BC44" s="181">
        <v>6</v>
      </c>
      <c r="BD44" s="182">
        <v>6</v>
      </c>
      <c r="BE44" s="183">
        <v>6</v>
      </c>
      <c r="BF44" s="119">
        <v>6</v>
      </c>
      <c r="BG44" s="190">
        <v>6</v>
      </c>
      <c r="BH44" s="191">
        <v>6</v>
      </c>
      <c r="BI44" s="147"/>
      <c r="BJ44" s="93"/>
    </row>
    <row r="45" spans="9:62" ht="18" thickBot="1">
      <c r="I45" s="49"/>
      <c r="J45" s="54"/>
      <c r="K45" s="62"/>
      <c r="L45" s="62"/>
      <c r="M45" s="52"/>
      <c r="N45" s="49"/>
      <c r="O45" s="55"/>
      <c r="Q45" s="55"/>
      <c r="R45" s="55"/>
      <c r="AX45" s="115" t="s">
        <v>35</v>
      </c>
      <c r="AY45" s="110"/>
      <c r="AZ45" s="174">
        <v>5</v>
      </c>
      <c r="BA45" s="175">
        <v>5</v>
      </c>
      <c r="BB45" s="176">
        <v>5</v>
      </c>
      <c r="BC45" s="184">
        <v>5</v>
      </c>
      <c r="BD45" s="185">
        <v>5</v>
      </c>
      <c r="BE45" s="186">
        <v>5</v>
      </c>
      <c r="BF45" s="192">
        <v>5</v>
      </c>
      <c r="BG45" s="193">
        <v>5</v>
      </c>
      <c r="BH45" s="194">
        <v>5</v>
      </c>
      <c r="BI45" s="147"/>
      <c r="BJ45" s="93"/>
    </row>
    <row r="46" spans="9:62" ht="17" thickBot="1">
      <c r="I46" t="s">
        <v>58</v>
      </c>
      <c r="AX46" s="115" t="s">
        <v>36</v>
      </c>
      <c r="AY46" s="110"/>
      <c r="AZ46" s="174">
        <v>4</v>
      </c>
      <c r="BA46" s="175">
        <v>4</v>
      </c>
      <c r="BB46" s="176">
        <v>4</v>
      </c>
      <c r="BC46" s="184">
        <v>4</v>
      </c>
      <c r="BD46" s="185">
        <v>4</v>
      </c>
      <c r="BE46" s="186">
        <v>4</v>
      </c>
      <c r="BF46" s="192">
        <v>4</v>
      </c>
      <c r="BG46" s="193">
        <v>4</v>
      </c>
      <c r="BH46" s="194">
        <v>4</v>
      </c>
      <c r="BI46" s="147"/>
      <c r="BJ46" s="93"/>
    </row>
    <row r="47" spans="9:62" ht="17" thickBot="1">
      <c r="I47" t="s">
        <v>55</v>
      </c>
      <c r="AX47" s="115" t="s">
        <v>37</v>
      </c>
      <c r="AY47" s="110"/>
      <c r="AZ47" s="174">
        <v>3</v>
      </c>
      <c r="BA47" s="175">
        <v>3</v>
      </c>
      <c r="BB47" s="176">
        <v>3</v>
      </c>
      <c r="BC47" s="184">
        <v>3</v>
      </c>
      <c r="BD47" s="185">
        <v>3</v>
      </c>
      <c r="BE47" s="186">
        <v>3</v>
      </c>
      <c r="BF47" s="192">
        <v>3</v>
      </c>
      <c r="BG47" s="193">
        <v>3</v>
      </c>
      <c r="BH47" s="194">
        <v>3</v>
      </c>
      <c r="BI47" s="147"/>
      <c r="BJ47" s="138"/>
    </row>
    <row r="48" spans="9:62" ht="15" customHeight="1" thickBot="1">
      <c r="AX48" s="115" t="s">
        <v>38</v>
      </c>
      <c r="AY48" s="110"/>
      <c r="AZ48" s="177">
        <v>2</v>
      </c>
      <c r="BA48" s="175">
        <v>2</v>
      </c>
      <c r="BB48" s="176">
        <v>2</v>
      </c>
      <c r="BC48" s="184">
        <v>2</v>
      </c>
      <c r="BD48" s="185">
        <v>2</v>
      </c>
      <c r="BE48" s="186">
        <v>2</v>
      </c>
      <c r="BF48" s="192">
        <v>2</v>
      </c>
      <c r="BG48" s="193">
        <v>2</v>
      </c>
      <c r="BH48" s="194">
        <v>2</v>
      </c>
      <c r="BI48" s="158"/>
      <c r="BJ48" s="159" t="s">
        <v>108</v>
      </c>
    </row>
    <row r="49" spans="9:62" ht="15" customHeight="1" thickBot="1">
      <c r="I49" t="s">
        <v>97</v>
      </c>
      <c r="AX49" s="115" t="s">
        <v>39</v>
      </c>
      <c r="AY49" s="110"/>
      <c r="AZ49" s="174">
        <v>1</v>
      </c>
      <c r="BA49" s="175">
        <v>1</v>
      </c>
      <c r="BB49" s="176">
        <v>1</v>
      </c>
      <c r="BC49" s="184">
        <v>1</v>
      </c>
      <c r="BD49" s="185">
        <v>1</v>
      </c>
      <c r="BE49" s="186">
        <v>1</v>
      </c>
      <c r="BF49" s="192">
        <v>1</v>
      </c>
      <c r="BG49" s="193">
        <v>1</v>
      </c>
      <c r="BH49" s="194">
        <v>1</v>
      </c>
      <c r="BI49" s="158"/>
      <c r="BJ49" s="160" t="s">
        <v>108</v>
      </c>
    </row>
    <row r="50" spans="9:62" ht="35" customHeight="1" thickBot="1">
      <c r="I50" s="19" t="s">
        <v>81</v>
      </c>
      <c r="AX50" s="115" t="s">
        <v>40</v>
      </c>
      <c r="AY50" s="110"/>
      <c r="AZ50" s="178">
        <v>0</v>
      </c>
      <c r="BA50" s="179">
        <v>0</v>
      </c>
      <c r="BB50" s="180">
        <v>0</v>
      </c>
      <c r="BC50" s="187">
        <v>0</v>
      </c>
      <c r="BD50" s="188">
        <v>0</v>
      </c>
      <c r="BE50" s="189">
        <v>0</v>
      </c>
      <c r="BF50" s="195">
        <v>0</v>
      </c>
      <c r="BG50" s="196">
        <v>0</v>
      </c>
      <c r="BH50" s="197">
        <v>0</v>
      </c>
      <c r="BI50" s="158"/>
      <c r="BJ50" s="170" t="s">
        <v>108</v>
      </c>
    </row>
    <row r="51" spans="9:62" ht="33" customHeight="1">
      <c r="I51" s="19" t="s">
        <v>95</v>
      </c>
    </row>
    <row r="52" spans="9:62">
      <c r="I52" s="19" t="s">
        <v>87</v>
      </c>
      <c r="AV52" t="s">
        <v>138</v>
      </c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7"/>
    </row>
    <row r="53" spans="9:62" ht="17" thickBot="1">
      <c r="I53" s="19" t="s">
        <v>86</v>
      </c>
      <c r="AU53" s="208" t="s">
        <v>137</v>
      </c>
      <c r="AV53" s="209"/>
      <c r="AX53" s="36"/>
      <c r="AY53" s="86">
        <v>1</v>
      </c>
      <c r="AZ53" s="94">
        <v>2</v>
      </c>
      <c r="BA53" s="99">
        <v>3</v>
      </c>
      <c r="BB53" s="95">
        <v>4</v>
      </c>
      <c r="BC53" s="95">
        <v>5</v>
      </c>
      <c r="BD53" s="95">
        <v>6</v>
      </c>
      <c r="BE53" s="95">
        <v>7</v>
      </c>
      <c r="BF53" s="95">
        <v>8</v>
      </c>
      <c r="BG53" s="95">
        <v>9</v>
      </c>
      <c r="BH53" s="95">
        <v>10</v>
      </c>
      <c r="BI53" s="95">
        <v>11</v>
      </c>
      <c r="BJ53" s="57">
        <v>12</v>
      </c>
    </row>
    <row r="54" spans="9:62" ht="17" thickBot="1">
      <c r="I54" s="19" t="s">
        <v>88</v>
      </c>
      <c r="AU54" s="209"/>
      <c r="AV54" s="209"/>
      <c r="AX54" s="115" t="s">
        <v>33</v>
      </c>
      <c r="AY54" s="93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</row>
    <row r="55" spans="9:62" ht="17" thickBot="1">
      <c r="I55" s="19" t="s">
        <v>92</v>
      </c>
      <c r="AU55" t="s">
        <v>145</v>
      </c>
      <c r="AX55" s="115" t="s">
        <v>34</v>
      </c>
      <c r="AY55" s="110"/>
      <c r="AZ55" s="198">
        <v>6</v>
      </c>
      <c r="BA55" s="199">
        <v>6</v>
      </c>
      <c r="BB55" s="200">
        <v>6</v>
      </c>
      <c r="BC55" s="147"/>
      <c r="BD55" s="93"/>
      <c r="BE55" s="93"/>
      <c r="BF55" s="93"/>
      <c r="BG55" s="93"/>
      <c r="BH55" s="93"/>
      <c r="BI55" s="93"/>
      <c r="BJ55" s="93"/>
    </row>
    <row r="56" spans="9:62" ht="17" thickBot="1">
      <c r="I56" s="19" t="s">
        <v>93</v>
      </c>
      <c r="O56" s="91" t="s">
        <v>98</v>
      </c>
      <c r="AX56" s="115" t="s">
        <v>35</v>
      </c>
      <c r="AY56" s="110"/>
      <c r="AZ56" s="201">
        <v>5</v>
      </c>
      <c r="BA56" s="202">
        <v>5</v>
      </c>
      <c r="BB56" s="203">
        <v>5</v>
      </c>
      <c r="BC56" s="147"/>
      <c r="BD56" s="93"/>
      <c r="BE56" s="93"/>
      <c r="BF56" s="93"/>
      <c r="BG56" s="93"/>
      <c r="BH56" s="93"/>
      <c r="BI56" s="93"/>
      <c r="BJ56" s="93"/>
    </row>
    <row r="57" spans="9:62" ht="17" thickBot="1">
      <c r="I57" s="19" t="s">
        <v>82</v>
      </c>
      <c r="K57" t="s">
        <v>83</v>
      </c>
      <c r="N57" s="92"/>
      <c r="O57" s="90" t="s">
        <v>96</v>
      </c>
      <c r="AX57" s="115" t="s">
        <v>36</v>
      </c>
      <c r="AY57" s="110"/>
      <c r="AZ57" s="201">
        <v>4</v>
      </c>
      <c r="BA57" s="202">
        <v>4</v>
      </c>
      <c r="BB57" s="203">
        <v>4</v>
      </c>
      <c r="BC57" s="147"/>
      <c r="BD57" s="93"/>
      <c r="BE57" s="93"/>
      <c r="BF57" s="93"/>
      <c r="BG57" s="93"/>
      <c r="BH57" s="93"/>
      <c r="BI57" s="93"/>
      <c r="BJ57" s="93"/>
    </row>
    <row r="58" spans="9:62" ht="17" thickBot="1">
      <c r="AX58" s="115" t="s">
        <v>37</v>
      </c>
      <c r="AY58" s="110"/>
      <c r="AZ58" s="201">
        <v>3</v>
      </c>
      <c r="BA58" s="202">
        <v>3</v>
      </c>
      <c r="BB58" s="203">
        <v>3</v>
      </c>
      <c r="BC58" s="147"/>
      <c r="BD58" s="93"/>
      <c r="BE58" s="93"/>
      <c r="BF58" s="93"/>
      <c r="BG58" s="93"/>
      <c r="BH58" s="93"/>
      <c r="BI58" s="93"/>
      <c r="BJ58" s="93"/>
    </row>
    <row r="59" spans="9:62" ht="17" thickBot="1">
      <c r="AX59" s="115" t="s">
        <v>38</v>
      </c>
      <c r="AY59" s="110"/>
      <c r="AZ59" s="201">
        <v>2</v>
      </c>
      <c r="BA59" s="202">
        <v>2</v>
      </c>
      <c r="BB59" s="203">
        <v>2</v>
      </c>
      <c r="BC59" s="147"/>
      <c r="BD59" s="93"/>
      <c r="BE59" s="93"/>
      <c r="BF59" s="93"/>
      <c r="BG59" s="93"/>
      <c r="BH59" s="93"/>
      <c r="BI59" s="93"/>
      <c r="BJ59" s="159" t="s">
        <v>108</v>
      </c>
    </row>
    <row r="60" spans="9:62" ht="17" thickBot="1">
      <c r="I60" t="s">
        <v>100</v>
      </c>
      <c r="AX60" s="115" t="s">
        <v>39</v>
      </c>
      <c r="AY60" s="110"/>
      <c r="AZ60" s="201">
        <v>1</v>
      </c>
      <c r="BA60" s="202">
        <v>1</v>
      </c>
      <c r="BB60" s="203">
        <v>1</v>
      </c>
      <c r="BC60" s="147"/>
      <c r="BD60" s="93"/>
      <c r="BE60" s="93"/>
      <c r="BF60" s="93"/>
      <c r="BG60" s="93"/>
      <c r="BH60" s="93"/>
      <c r="BI60" s="93"/>
      <c r="BJ60" s="160" t="s">
        <v>108</v>
      </c>
    </row>
    <row r="61" spans="9:62" ht="16" customHeight="1" thickBot="1">
      <c r="I61" t="s">
        <v>101</v>
      </c>
      <c r="AX61" s="115" t="s">
        <v>40</v>
      </c>
      <c r="AY61" s="110"/>
      <c r="AZ61" s="204">
        <v>0</v>
      </c>
      <c r="BA61" s="205">
        <v>0</v>
      </c>
      <c r="BB61" s="206">
        <v>0</v>
      </c>
      <c r="BC61" s="147"/>
      <c r="BD61" s="93"/>
      <c r="BE61" s="93"/>
      <c r="BF61" s="93"/>
      <c r="BG61" s="93"/>
      <c r="BH61" s="93"/>
      <c r="BI61" s="93"/>
      <c r="BJ61" s="170" t="s">
        <v>108</v>
      </c>
    </row>
    <row r="68" spans="8:8" ht="16" customHeight="1"/>
    <row r="74" spans="8:8" ht="37" customHeight="1"/>
    <row r="80" spans="8:8">
      <c r="H80" s="14"/>
    </row>
    <row r="81" spans="8:8">
      <c r="H81" s="14"/>
    </row>
  </sheetData>
  <mergeCells count="21">
    <mergeCell ref="S18:U19"/>
    <mergeCell ref="T12:U12"/>
    <mergeCell ref="S13:U15"/>
    <mergeCell ref="S17:U17"/>
    <mergeCell ref="W15:W16"/>
    <mergeCell ref="AU42:AV43"/>
    <mergeCell ref="AU53:AV54"/>
    <mergeCell ref="I6:J6"/>
    <mergeCell ref="I7:J7"/>
    <mergeCell ref="L7:M7"/>
    <mergeCell ref="S5:S6"/>
    <mergeCell ref="K3:K7"/>
    <mergeCell ref="AB3:AC4"/>
    <mergeCell ref="N3:O8"/>
    <mergeCell ref="AU28:AV29"/>
    <mergeCell ref="N9:O9"/>
    <mergeCell ref="X15:X16"/>
    <mergeCell ref="Y15:Y16"/>
    <mergeCell ref="T11:U11"/>
    <mergeCell ref="AU6:AV7"/>
    <mergeCell ref="AU17:AV18"/>
  </mergeCells>
  <phoneticPr fontId="8" type="noConversion"/>
  <pageMargins left="0.7" right="0.7" top="0.75" bottom="0.75" header="0.3" footer="0.3"/>
  <pageSetup scale="59" orientation="landscape"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 melt probes</vt:lpstr>
      <vt:lpstr>'2 melt probes'!Print_Area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Malofsky</dc:creator>
  <cp:lastModifiedBy>Malofsky, Nicole A</cp:lastModifiedBy>
  <cp:lastPrinted>2025-07-14T15:33:44Z</cp:lastPrinted>
  <dcterms:created xsi:type="dcterms:W3CDTF">2021-07-14T19:35:26Z</dcterms:created>
  <dcterms:modified xsi:type="dcterms:W3CDTF">2025-07-14T15:35:57Z</dcterms:modified>
</cp:coreProperties>
</file>