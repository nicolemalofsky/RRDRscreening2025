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weshdhungel/Desktop/haselton lab /"/>
    </mc:Choice>
  </mc:AlternateContent>
  <xr:revisionPtr revIDLastSave="0" documentId="13_ncr:1_{3CF18F0E-081E-274D-8AD9-95FF08127696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LOD template" sheetId="63" r:id="rId1"/>
  </sheets>
  <definedNames>
    <definedName name="_xlnm.Print_Area" localSheetId="0">'LOD template'!$S$2:$AM$28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/>
  <c r="Y18" i="63" s="1"/>
  <c r="L16" i="63"/>
  <c r="M16" i="63"/>
  <c r="X18" i="63" s="1"/>
  <c r="L11" i="63"/>
  <c r="L12" i="63"/>
  <c r="L13" i="63"/>
  <c r="L14" i="63"/>
  <c r="L10" i="63"/>
  <c r="M21" i="63"/>
  <c r="O36" i="63"/>
  <c r="M36" i="63"/>
  <c r="O35" i="63"/>
  <c r="M35" i="63"/>
  <c r="M10" i="63"/>
  <c r="M11" i="63"/>
  <c r="M12" i="63"/>
  <c r="M13" i="63"/>
  <c r="M14" i="63"/>
  <c r="L20" i="63"/>
  <c r="J17" i="63"/>
  <c r="O14" i="63"/>
  <c r="O13" i="63"/>
  <c r="O12" i="63"/>
  <c r="K12" i="63"/>
  <c r="O11" i="63"/>
  <c r="K11" i="63"/>
  <c r="O10" i="63"/>
  <c r="M20" i="63" l="1"/>
</calcChain>
</file>

<file path=xl/sharedStrings.xml><?xml version="1.0" encoding="utf-8"?>
<sst xmlns="http://schemas.openxmlformats.org/spreadsheetml/2006/main" count="199" uniqueCount="141">
  <si>
    <t>** non-dT targets!!!</t>
  </si>
  <si>
    <t>Date</t>
  </si>
  <si>
    <t>non-dT targets      + 50 cycles               + 67C anneal</t>
  </si>
  <si>
    <t>N</t>
  </si>
  <si>
    <t>63 per plate</t>
  </si>
  <si>
    <t># of Samples</t>
  </si>
  <si>
    <t>PCR + post-melt: 0.025C/s on continuous melt per literature support</t>
  </si>
  <si>
    <t>Mutated Seg</t>
  </si>
  <si>
    <t>Target Type</t>
  </si>
  <si>
    <t>MEP</t>
  </si>
  <si>
    <t>Kit = SensiFAST Probe No-ROX Kit (BIO-86005)</t>
  </si>
  <si>
    <t>Temp (ºC)</t>
  </si>
  <si>
    <t>Time (mm:ss)</t>
  </si>
  <si>
    <t>N/A</t>
  </si>
  <si>
    <t>Wild-type RRDR</t>
  </si>
  <si>
    <t>A</t>
  </si>
  <si>
    <t>#1</t>
  </si>
  <si>
    <t>#4</t>
  </si>
  <si>
    <t># of Rxns</t>
  </si>
  <si>
    <t>Polymerase Activation</t>
  </si>
  <si>
    <t>S1</t>
  </si>
  <si>
    <t>D435V</t>
  </si>
  <si>
    <t>B</t>
  </si>
  <si>
    <t>n</t>
  </si>
  <si>
    <t>sum</t>
  </si>
  <si>
    <t>Melt / Denaturation (Cycling A)</t>
  </si>
  <si>
    <t>S2</t>
  </si>
  <si>
    <t>H445D</t>
  </si>
  <si>
    <t>C</t>
  </si>
  <si>
    <t>Component</t>
  </si>
  <si>
    <t>[Working]</t>
  </si>
  <si>
    <t>[Final Rxn uM]</t>
  </si>
  <si>
    <t>Single Rxn Vol (uL)</t>
  </si>
  <si>
    <t>Full Rxn Vol (uL)</t>
  </si>
  <si>
    <t>Check off Component</t>
  </si>
  <si>
    <t>Anneal / Extension (Cycling B) *acquire*</t>
  </si>
  <si>
    <t>S450L</t>
  </si>
  <si>
    <t>D</t>
  </si>
  <si>
    <t>Nuclease-free water</t>
  </si>
  <si>
    <t># of cycles</t>
  </si>
  <si>
    <t>H445D+S450L</t>
  </si>
  <si>
    <t>E</t>
  </si>
  <si>
    <t>rpoB F Primer (MEP409)</t>
  </si>
  <si>
    <t>50 uM</t>
  </si>
  <si>
    <t>Anneal / Hybridiization</t>
  </si>
  <si>
    <t>95C to 50C</t>
  </si>
  <si>
    <t>S1+2</t>
  </si>
  <si>
    <t>D435V+H445D+S450L</t>
  </si>
  <si>
    <t>F</t>
  </si>
  <si>
    <t>rpoB R Primer (MEP410)</t>
  </si>
  <si>
    <t>5 uM</t>
  </si>
  <si>
    <t>Melt Analysis *aquire*</t>
  </si>
  <si>
    <t>65C to 95C</t>
  </si>
  <si>
    <t>L430P</t>
  </si>
  <si>
    <t>G</t>
  </si>
  <si>
    <t>SensiFAST Probe No-ROX Kit</t>
  </si>
  <si>
    <t>2X</t>
  </si>
  <si>
    <t>1X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</si>
  <si>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</si>
  <si>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S428T</t>
  </si>
  <si>
    <t>H</t>
  </si>
  <si>
    <t>LC Green Plus</t>
  </si>
  <si>
    <t>10X</t>
  </si>
  <si>
    <t>NTC</t>
  </si>
  <si>
    <t>NA</t>
  </si>
  <si>
    <t xml:space="preserve">Add Seg1 (@ 10uM) to MM tube </t>
  </si>
  <si>
    <t>Blocked Melt Probe Seg1 (MEP614)</t>
  </si>
  <si>
    <t>10 uM</t>
  </si>
  <si>
    <t>Probe 1</t>
  </si>
  <si>
    <t>Master Mix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</si>
  <si>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</si>
  <si>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</si>
  <si>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 xml:space="preserve">Add Seg2 (@ 10uM) to MM tube </t>
  </si>
  <si>
    <t>Blocked Melt Probe Seg2 (MEP613)</t>
  </si>
  <si>
    <t>Probe 2</t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</si>
  <si>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</si>
  <si>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t>Pipet 18uL MM per well</t>
  </si>
  <si>
    <t>#2</t>
  </si>
  <si>
    <t>Target uL calculations</t>
  </si>
  <si>
    <t>10^6 c/uL</t>
  </si>
  <si>
    <t>Add sep</t>
  </si>
  <si>
    <t>Target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</si>
  <si>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</si>
  <si>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All Same</t>
  </si>
  <si>
    <t>Add 2uL target per target well (10^6c/uL)</t>
  </si>
  <si>
    <t>6 uL per other group</t>
  </si>
  <si>
    <t>total volume</t>
  </si>
  <si>
    <t>15 min UV light in clean hood</t>
  </si>
  <si>
    <t>Clean hood = left, target bench = left</t>
  </si>
  <si>
    <t>vol/tube</t>
  </si>
  <si>
    <t>PCR instrument = QuantStudio5</t>
  </si>
  <si>
    <t>SensiFAST Probe No-ROX Kit (BIO-86005)</t>
  </si>
  <si>
    <t>LOT = # SFPN-323412A</t>
  </si>
  <si>
    <t>7/23+24/24 prep 10^6c/uL target for H445D (MEP479), D435V (MEP478), S450L (MEP480), D435V+H445D+S450L (MEP482) in -80C box RRDR Targets July 2024</t>
  </si>
  <si>
    <t>3/24/25 and 4/7/25 prep MEP613 RRDR Seg2 Blocked Probe as 100uM in 1X TE clean room freezer, 10uM in H2O target fridge</t>
  </si>
  <si>
    <t>#3</t>
  </si>
  <si>
    <t>3/24/25 and 4/7/25 prep MEP614 RRDR Seg1 Blocked Probe as 100uM in 1X TE clean room freezer, 10uM in H2O target fridge</t>
  </si>
  <si>
    <t>4/7/25 prep L430P (MEP618) and S428T (MEP619) RRDR Targets</t>
  </si>
  <si>
    <t xml:space="preserve">4/18/25 prep WT MEP399 dT targets for 10^4--&gt;10^0 c/uL and store in fridge </t>
  </si>
  <si>
    <t>[Stock] (uM)</t>
  </si>
  <si>
    <t>[Working] (uM)</t>
  </si>
  <si>
    <t>[Rxn] (uM)</t>
  </si>
  <si>
    <t>[Rxn] (nM)</t>
  </si>
  <si>
    <t>Volume (uL) added per rxn</t>
  </si>
  <si>
    <t>Sequence</t>
  </si>
  <si>
    <t>Source</t>
  </si>
  <si>
    <t>RRDR F Primer (MEP409)</t>
  </si>
  <si>
    <t>RRDR R Primer (MEP410)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</si>
  <si>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</si>
  <si>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</si>
  <si>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</si>
  <si>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</si>
  <si>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</si>
  <si>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</si>
  <si>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</si>
  <si>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Location: -20C, rpob - I491 F pink box from 6/3/24</t>
  </si>
  <si>
    <t>Note w/r to mutants: SNP underlined in red</t>
  </si>
  <si>
    <t>2/11/25 prep 10uM blocked probes MEP551 and 02/03/25 aliquot prep MEP492</t>
  </si>
  <si>
    <t>10/23/24 prep 50uM Blocked C3 Spacer WT RRDR Melt Probe MEP551 (Segment 1, stock 10/3/24 in clean room) in -80 box RRDR Melt Probe Segments</t>
  </si>
  <si>
    <t>02/03/25 Swesh prep 50uM Blocked C3 Spacer WT RRDR Melt Probe MEP492 (Segment 2, stock 7/25/24) in -80 box RRDR Melt Probe Segments</t>
  </si>
  <si>
    <t>12/9/24 prep 10uM 3' TXR Seg2 WT RRDR Melt Probe MEP599 (stock 12/9/24 in clean room) in 20C target fridge</t>
  </si>
  <si>
    <t>11/20/24 prep 10uM 3' TXR Seg1 WT RRDR Melt Probe MEP596 (stock 11/20/24 in clean room) in 20C target fridge</t>
  </si>
  <si>
    <t>12/20/24 prep 10uM 3' TXR Conserved Seg WT RRDR Melt Probe MEP600 (stock 12/20/24 in clean room) in 20C target fridge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</si>
  <si>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</si>
  <si>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</si>
  <si>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 xml:space="preserve">02/26/25 SD MgCl2 prep (500 mM stock) and 100 mM Dilution (clean room right hood) </t>
  </si>
  <si>
    <t>SYBR Green I nucleic acid gel stain (Sigma S9430_0.5ML) LOT #SLBD8080V</t>
  </si>
  <si>
    <t>10/24/24: prep 100X SYBR in 1X TE via 10,000X DMSO stock</t>
  </si>
  <si>
    <t>2/10/25 and prep 25X SYBR in 1X TE via 100X in TE via 10,000X stock</t>
  </si>
  <si>
    <t>3/10/25 prep MEP612 RRDR Seg2 Blocked Probe as 100uM in 1X TE clean room freezer, 10uM in H2O target fridge</t>
  </si>
  <si>
    <t>9/18/24 prep MEP550 RRDR Seg1 Blocked Probe as 10uM in H2O target fridge</t>
  </si>
  <si>
    <t xml:space="preserve">Build off E360 - keep 50 cycles and 67C annealing </t>
  </si>
  <si>
    <t xml:space="preserve">When putting water/target into the wells, you’ll want to load the wells NTC first, 10^0 to 10^6 of rows BCD second, 10^0 to 10^6 of rows EFG third, then rows B to G of 10^6 triplicate targets one row at a time. </t>
  </si>
  <si>
    <t>4/7/24 prep 50uM FWD pri MEP409, 4/7/2025 SD prep 5uM REV pri MEP410, 07/25/2024 NAM prep 10uM REV pri MEP410 - all from 6/19/24 stock 100uM - new aliq 50 and 5 from Swesh 4/7/25</t>
  </si>
  <si>
    <t>Target = MEP399, 478–482, 618, 619, NTC</t>
  </si>
  <si>
    <t>Goal: RRDR -  Use MEP614 Seg1 and MEP613 Seg2 - SD E65 worked really well with Plate design #2.  Do Plate design #3 - LOD MEP481 (new dilutions from 4/22/25) and MEP482 plus triplicate of other targets</t>
  </si>
  <si>
    <t>10/25/24 prep RRDR WT (MEP399) and 04/22/25 H445D+S450L (MEP481) target as 10^6 c/uL in -80 box RRDR Targets July 2024</t>
  </si>
  <si>
    <t>Expt 66 - SensiFAST Probe No Rox</t>
  </si>
  <si>
    <t>4/22/25 prep MEP481 targets 10^6 –&gt; 10^0</t>
  </si>
  <si>
    <t>LC Green Plus (BioFire Cat # BCHM-ASY-0005, LOT 302124), 10X in 10mM Tris-HCl, o 4/17/25 and o 4/23/25 (mixed the two), stored in ClRm FridgeB</t>
  </si>
  <si>
    <t>o 4/23/25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</si>
</sst>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36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21B8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7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6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2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6" fillId="13" borderId="3" xfId="0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justify" vertical="center" wrapText="1"/>
    </xf>
    <xf numFmtId="0" fontId="19" fillId="17" borderId="33" xfId="0" applyFont="1" applyFill="1" applyBorder="1" applyAlignment="1">
      <alignment horizontal="justify" vertical="center" wrapText="1"/>
    </xf>
    <xf numFmtId="0" fontId="19" fillId="17" borderId="35" xfId="0" applyFont="1" applyFill="1" applyBorder="1" applyAlignment="1">
      <alignment horizontal="justify" vertical="center" wrapText="1"/>
    </xf>
    <xf numFmtId="0" fontId="19" fillId="18" borderId="18" xfId="0" applyFont="1" applyFill="1" applyBorder="1" applyAlignment="1">
      <alignment horizontal="justify" vertical="center" wrapText="1"/>
    </xf>
    <xf numFmtId="0" fontId="19" fillId="18" borderId="33" xfId="0" applyFont="1" applyFill="1" applyBorder="1" applyAlignment="1">
      <alignment horizontal="justify" vertical="center" wrapText="1"/>
    </xf>
    <xf numFmtId="0" fontId="19" fillId="20" borderId="33" xfId="0" applyFont="1" applyFill="1" applyBorder="1" applyAlignment="1">
      <alignment horizontal="justify" vertical="center" wrapText="1"/>
    </xf>
    <xf numFmtId="0" fontId="19" fillId="22" borderId="33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24" borderId="18" xfId="0" applyFont="1" applyFill="1" applyBorder="1" applyAlignment="1">
      <alignment horizontal="justify" vertical="center" wrapText="1"/>
    </xf>
    <xf numFmtId="0" fontId="19" fillId="24" borderId="33" xfId="0" applyFont="1" applyFill="1" applyBorder="1" applyAlignment="1">
      <alignment horizontal="justify" vertical="center" wrapText="1"/>
    </xf>
    <xf numFmtId="0" fontId="19" fillId="17" borderId="36" xfId="0" applyFont="1" applyFill="1" applyBorder="1" applyAlignment="1">
      <alignment horizontal="justify" vertical="center" wrapText="1"/>
    </xf>
    <xf numFmtId="0" fontId="19" fillId="17" borderId="37" xfId="0" applyFont="1" applyFill="1" applyBorder="1" applyAlignment="1">
      <alignment horizontal="justify" vertical="center" wrapText="1"/>
    </xf>
    <xf numFmtId="0" fontId="19" fillId="17" borderId="18" xfId="0" applyFont="1" applyFill="1" applyBorder="1" applyAlignment="1">
      <alignment horizontal="justify" vertical="center" wrapText="1"/>
    </xf>
    <xf numFmtId="0" fontId="19" fillId="4" borderId="33" xfId="0" applyFont="1" applyFill="1" applyBorder="1" applyAlignment="1">
      <alignment horizontal="justify" vertical="center" wrapText="1"/>
    </xf>
    <xf numFmtId="0" fontId="19" fillId="17" borderId="38" xfId="0" applyFont="1" applyFill="1" applyBorder="1" applyAlignment="1">
      <alignment horizontal="justify" vertical="center" wrapText="1"/>
    </xf>
    <xf numFmtId="0" fontId="19" fillId="18" borderId="2" xfId="0" applyFont="1" applyFill="1" applyBorder="1" applyAlignment="1">
      <alignment horizontal="justify" vertical="center" wrapText="1"/>
    </xf>
    <xf numFmtId="0" fontId="19" fillId="18" borderId="39" xfId="0" applyFont="1" applyFill="1" applyBorder="1" applyAlignment="1">
      <alignment horizontal="justify" vertical="center" wrapText="1"/>
    </xf>
    <xf numFmtId="0" fontId="19" fillId="18" borderId="3" xfId="0" applyFont="1" applyFill="1" applyBorder="1" applyAlignment="1">
      <alignment horizontal="justify" vertical="center" wrapText="1"/>
    </xf>
    <xf numFmtId="0" fontId="19" fillId="18" borderId="25" xfId="0" applyFont="1" applyFill="1" applyBorder="1" applyAlignment="1">
      <alignment horizontal="justify" vertical="center" wrapText="1"/>
    </xf>
    <xf numFmtId="0" fontId="19" fillId="18" borderId="17" xfId="0" applyFont="1" applyFill="1" applyBorder="1" applyAlignment="1">
      <alignment horizontal="justify" vertical="center" wrapText="1"/>
    </xf>
    <xf numFmtId="0" fontId="19" fillId="18" borderId="40" xfId="0" applyFont="1" applyFill="1" applyBorder="1" applyAlignment="1">
      <alignment horizontal="justify" vertical="center" wrapText="1"/>
    </xf>
    <xf numFmtId="0" fontId="19" fillId="18" borderId="41" xfId="0" applyFont="1" applyFill="1" applyBorder="1" applyAlignment="1">
      <alignment horizontal="justify" vertical="center" wrapText="1"/>
    </xf>
    <xf numFmtId="0" fontId="19" fillId="18" borderId="42" xfId="0" applyFont="1" applyFill="1" applyBorder="1" applyAlignment="1">
      <alignment horizontal="justify" vertical="center" wrapText="1"/>
    </xf>
    <xf numFmtId="0" fontId="19" fillId="18" borderId="43" xfId="0" applyFont="1" applyFill="1" applyBorder="1" applyAlignment="1">
      <alignment horizontal="justify" vertical="center" wrapText="1"/>
    </xf>
    <xf numFmtId="0" fontId="19" fillId="18" borderId="16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9" xfId="0" applyFont="1" applyFill="1" applyBorder="1" applyAlignment="1">
      <alignment horizontal="justify" vertical="center" wrapText="1"/>
    </xf>
    <xf numFmtId="0" fontId="19" fillId="4" borderId="25" xfId="0" applyFont="1" applyFill="1" applyBorder="1" applyAlignment="1">
      <alignment horizontal="justify" vertical="center" wrapText="1"/>
    </xf>
    <xf numFmtId="0" fontId="19" fillId="4" borderId="17" xfId="0" applyFont="1" applyFill="1" applyBorder="1" applyAlignment="1">
      <alignment horizontal="justify" vertical="center" wrapText="1"/>
    </xf>
    <xf numFmtId="0" fontId="19" fillId="4" borderId="40" xfId="0" applyFont="1" applyFill="1" applyBorder="1" applyAlignment="1">
      <alignment horizontal="justify" vertical="center" wrapText="1"/>
    </xf>
    <xf numFmtId="0" fontId="19" fillId="4" borderId="41" xfId="0" applyFont="1" applyFill="1" applyBorder="1" applyAlignment="1">
      <alignment horizontal="justify" vertical="center" wrapText="1"/>
    </xf>
    <xf numFmtId="0" fontId="19" fillId="4" borderId="42" xfId="0" applyFont="1" applyFill="1" applyBorder="1" applyAlignment="1">
      <alignment horizontal="justify" vertical="center" wrapText="1"/>
    </xf>
    <xf numFmtId="0" fontId="19" fillId="19" borderId="42" xfId="0" applyFont="1" applyFill="1" applyBorder="1" applyAlignment="1">
      <alignment horizontal="justify" vertical="center" wrapText="1"/>
    </xf>
    <xf numFmtId="0" fontId="19" fillId="19" borderId="16" xfId="0" applyFont="1" applyFill="1" applyBorder="1" applyAlignment="1">
      <alignment horizontal="justify" vertical="center" wrapText="1"/>
    </xf>
    <xf numFmtId="0" fontId="19" fillId="0" borderId="36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19" fillId="8" borderId="17" xfId="0" applyFont="1" applyFill="1" applyBorder="1" applyAlignment="1">
      <alignment horizontal="justify" vertical="center" wrapText="1"/>
    </xf>
    <xf numFmtId="0" fontId="11" fillId="12" borderId="10" xfId="0" applyFont="1" applyFill="1" applyBorder="1" applyAlignment="1">
      <alignment horizontal="justify" vertical="center" wrapText="1"/>
    </xf>
    <xf numFmtId="0" fontId="11" fillId="12" borderId="45" xfId="0" applyFont="1" applyFill="1" applyBorder="1" applyAlignment="1">
      <alignment horizontal="justify" vertical="center" wrapText="1"/>
    </xf>
    <xf numFmtId="0" fontId="11" fillId="12" borderId="11" xfId="0" applyFont="1" applyFill="1" applyBorder="1" applyAlignment="1">
      <alignment horizontal="justify" vertical="center" wrapText="1"/>
    </xf>
    <xf numFmtId="0" fontId="11" fillId="12" borderId="46" xfId="0" applyFont="1" applyFill="1" applyBorder="1" applyAlignment="1">
      <alignment horizontal="justify" vertical="center" wrapText="1"/>
    </xf>
    <xf numFmtId="0" fontId="11" fillId="12" borderId="47" xfId="0" applyFont="1" applyFill="1" applyBorder="1" applyAlignment="1">
      <alignment horizontal="justify" vertical="center" wrapText="1"/>
    </xf>
    <xf numFmtId="0" fontId="11" fillId="12" borderId="48" xfId="0" applyFont="1" applyFill="1" applyBorder="1" applyAlignment="1">
      <alignment horizontal="justify" vertical="center" wrapText="1"/>
    </xf>
    <xf numFmtId="0" fontId="19" fillId="8" borderId="10" xfId="0" applyFont="1" applyFill="1" applyBorder="1" applyAlignment="1">
      <alignment horizontal="justify" vertical="center" wrapText="1"/>
    </xf>
    <xf numFmtId="0" fontId="19" fillId="8" borderId="45" xfId="0" applyFont="1" applyFill="1" applyBorder="1" applyAlignment="1">
      <alignment horizontal="justify" vertical="center" wrapText="1"/>
    </xf>
    <xf numFmtId="0" fontId="19" fillId="8" borderId="11" xfId="0" applyFont="1" applyFill="1" applyBorder="1" applyAlignment="1">
      <alignment horizontal="justify" vertical="center" wrapText="1"/>
    </xf>
    <xf numFmtId="0" fontId="19" fillId="7" borderId="10" xfId="0" applyFont="1" applyFill="1" applyBorder="1" applyAlignment="1">
      <alignment horizontal="justify" vertical="center" wrapText="1"/>
    </xf>
    <xf numFmtId="0" fontId="19" fillId="7" borderId="45" xfId="0" applyFont="1" applyFill="1" applyBorder="1" applyAlignment="1">
      <alignment horizontal="justify" vertical="center" wrapText="1"/>
    </xf>
    <xf numFmtId="0" fontId="19" fillId="7" borderId="11" xfId="0" applyFont="1" applyFill="1" applyBorder="1" applyAlignment="1">
      <alignment horizontal="justify" vertical="center" wrapText="1"/>
    </xf>
    <xf numFmtId="0" fontId="19" fillId="6" borderId="10" xfId="0" applyFont="1" applyFill="1" applyBorder="1" applyAlignment="1">
      <alignment horizontal="justify" vertical="center" wrapText="1"/>
    </xf>
    <xf numFmtId="0" fontId="19" fillId="6" borderId="45" xfId="0" applyFont="1" applyFill="1" applyBorder="1" applyAlignment="1">
      <alignment horizontal="justify" vertical="center" wrapText="1"/>
    </xf>
    <xf numFmtId="0" fontId="19" fillId="6" borderId="11" xfId="0" applyFont="1" applyFill="1" applyBorder="1" applyAlignment="1">
      <alignment horizontal="justify" vertical="center" wrapText="1"/>
    </xf>
    <xf numFmtId="0" fontId="11" fillId="16" borderId="10" xfId="0" applyFont="1" applyFill="1" applyBorder="1" applyAlignment="1">
      <alignment horizontal="justify" vertical="center" wrapText="1"/>
    </xf>
    <xf numFmtId="0" fontId="11" fillId="16" borderId="45" xfId="0" applyFont="1" applyFill="1" applyBorder="1" applyAlignment="1">
      <alignment horizontal="justify" vertical="center" wrapText="1"/>
    </xf>
    <xf numFmtId="0" fontId="11" fillId="16" borderId="11" xfId="0" applyFont="1" applyFill="1" applyBorder="1" applyAlignment="1">
      <alignment horizontal="justify" vertical="center" wrapText="1"/>
    </xf>
    <xf numFmtId="0" fontId="19" fillId="15" borderId="10" xfId="0" applyFont="1" applyFill="1" applyBorder="1" applyAlignment="1">
      <alignment horizontal="justify" vertical="center" wrapText="1"/>
    </xf>
    <xf numFmtId="0" fontId="19" fillId="15" borderId="45" xfId="0" applyFont="1" applyFill="1" applyBorder="1" applyAlignment="1">
      <alignment horizontal="justify" vertical="center" wrapText="1"/>
    </xf>
    <xf numFmtId="0" fontId="19" fillId="15" borderId="11" xfId="0" applyFont="1" applyFill="1" applyBorder="1" applyAlignment="1">
      <alignment horizontal="justify" vertical="center" wrapText="1"/>
    </xf>
    <xf numFmtId="0" fontId="19" fillId="17" borderId="49" xfId="0" applyFont="1" applyFill="1" applyBorder="1" applyAlignment="1">
      <alignment horizontal="justify" vertical="center" wrapText="1"/>
    </xf>
    <xf numFmtId="0" fontId="19" fillId="21" borderId="34" xfId="0" applyFont="1" applyFill="1" applyBorder="1" applyAlignment="1">
      <alignment horizontal="justify" vertical="center" wrapText="1"/>
    </xf>
    <xf numFmtId="0" fontId="19" fillId="21" borderId="50" xfId="0" applyFont="1" applyFill="1" applyBorder="1" applyAlignment="1">
      <alignment horizontal="justify" vertical="center" wrapText="1"/>
    </xf>
    <xf numFmtId="0" fontId="19" fillId="21" borderId="31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21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20" borderId="2" xfId="0" applyFont="1" applyFill="1" applyBorder="1" applyAlignment="1">
      <alignment horizontal="justify" vertical="center" wrapText="1"/>
    </xf>
    <xf numFmtId="0" fontId="19" fillId="20" borderId="39" xfId="0" applyFont="1" applyFill="1" applyBorder="1" applyAlignment="1">
      <alignment horizontal="justify" vertical="center" wrapText="1"/>
    </xf>
    <xf numFmtId="0" fontId="19" fillId="20" borderId="3" xfId="0" applyFont="1" applyFill="1" applyBorder="1" applyAlignment="1">
      <alignment horizontal="justify" vertical="center" wrapText="1"/>
    </xf>
    <xf numFmtId="0" fontId="19" fillId="20" borderId="25" xfId="0" applyFont="1" applyFill="1" applyBorder="1" applyAlignment="1">
      <alignment horizontal="justify" vertical="center" wrapText="1"/>
    </xf>
    <xf numFmtId="0" fontId="19" fillId="20" borderId="17" xfId="0" applyFont="1" applyFill="1" applyBorder="1" applyAlignment="1">
      <alignment horizontal="justify" vertical="center" wrapText="1"/>
    </xf>
    <xf numFmtId="0" fontId="19" fillId="20" borderId="18" xfId="0" applyFont="1" applyFill="1" applyBorder="1" applyAlignment="1">
      <alignment horizontal="justify" vertical="center" wrapText="1"/>
    </xf>
    <xf numFmtId="0" fontId="19" fillId="20" borderId="40" xfId="0" applyFont="1" applyFill="1" applyBorder="1" applyAlignment="1">
      <alignment horizontal="justify" vertical="center" wrapText="1"/>
    </xf>
    <xf numFmtId="0" fontId="19" fillId="20" borderId="41" xfId="0" applyFont="1" applyFill="1" applyBorder="1" applyAlignment="1">
      <alignment horizontal="justify" vertical="center" wrapText="1"/>
    </xf>
    <xf numFmtId="0" fontId="19" fillId="20" borderId="42" xfId="0" applyFont="1" applyFill="1" applyBorder="1" applyAlignment="1">
      <alignment horizontal="justify" vertical="center" wrapText="1"/>
    </xf>
    <xf numFmtId="0" fontId="19" fillId="20" borderId="43" xfId="0" applyFont="1" applyFill="1" applyBorder="1" applyAlignment="1">
      <alignment horizontal="justify" vertical="center" wrapText="1"/>
    </xf>
    <xf numFmtId="0" fontId="19" fillId="20" borderId="16" xfId="0" applyFont="1" applyFill="1" applyBorder="1" applyAlignment="1">
      <alignment horizontal="justify" vertical="center" wrapText="1"/>
    </xf>
    <xf numFmtId="0" fontId="19" fillId="8" borderId="2" xfId="0" applyFont="1" applyFill="1" applyBorder="1" applyAlignment="1">
      <alignment horizontal="justify" vertical="center" wrapText="1"/>
    </xf>
    <xf numFmtId="0" fontId="19" fillId="8" borderId="39" xfId="0" applyFont="1" applyFill="1" applyBorder="1" applyAlignment="1">
      <alignment horizontal="justify" vertical="center" wrapText="1"/>
    </xf>
    <xf numFmtId="0" fontId="19" fillId="8" borderId="25" xfId="0" applyFont="1" applyFill="1" applyBorder="1" applyAlignment="1">
      <alignment horizontal="justify" vertical="center" wrapText="1"/>
    </xf>
    <xf numFmtId="0" fontId="19" fillId="8" borderId="33" xfId="0" applyFont="1" applyFill="1" applyBorder="1" applyAlignment="1">
      <alignment horizontal="justify" vertical="center" wrapText="1"/>
    </xf>
    <xf numFmtId="0" fontId="19" fillId="8" borderId="40" xfId="0" applyFont="1" applyFill="1" applyBorder="1" applyAlignment="1">
      <alignment horizontal="justify" vertical="center" wrapText="1"/>
    </xf>
    <xf numFmtId="0" fontId="19" fillId="8" borderId="41" xfId="0" applyFont="1" applyFill="1" applyBorder="1" applyAlignment="1">
      <alignment horizontal="justify" vertical="center" wrapText="1"/>
    </xf>
    <xf numFmtId="0" fontId="19" fillId="8" borderId="42" xfId="0" applyFont="1" applyFill="1" applyBorder="1" applyAlignment="1">
      <alignment horizontal="justify" vertical="center" wrapText="1"/>
    </xf>
    <xf numFmtId="0" fontId="19" fillId="26" borderId="42" xfId="0" applyFont="1" applyFill="1" applyBorder="1" applyAlignment="1">
      <alignment horizontal="justify" vertical="center" wrapText="1"/>
    </xf>
    <xf numFmtId="0" fontId="19" fillId="26" borderId="16" xfId="0" applyFont="1" applyFill="1" applyBorder="1" applyAlignment="1">
      <alignment horizontal="justify" vertical="center" wrapText="1"/>
    </xf>
    <xf numFmtId="0" fontId="11" fillId="7" borderId="46" xfId="0" applyFont="1" applyFill="1" applyBorder="1" applyAlignment="1">
      <alignment horizontal="justify" vertical="center" wrapText="1"/>
    </xf>
    <xf numFmtId="0" fontId="11" fillId="7" 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pplyAlignment="1">
      <alignment horizontal="justify" vertical="center" wrapText="1"/>
    </xf>
    <xf numFmtId="0" fontId="19" fillId="16" borderId="10" xfId="0" applyFont="1" applyFill="1" applyBorder="1" applyAlignment="1">
      <alignment horizontal="justify" vertical="center" wrapText="1"/>
    </xf>
    <xf numFmtId="0" fontId="19" fillId="16" borderId="45" xfId="0" applyFont="1" applyFill="1" applyBorder="1" applyAlignment="1">
      <alignment horizontal="justify" vertical="center" wrapText="1"/>
    </xf>
    <xf numFmtId="0" fontId="19" fillId="16" borderId="11" xfId="0" applyFont="1" applyFill="1" applyBorder="1" applyAlignment="1">
      <alignment horizontal="justify" vertical="center" wrapText="1"/>
    </xf>
    <xf numFmtId="0" fontId="19" fillId="3" borderId="10" xfId="0" applyFont="1" applyFill="1" applyBorder="1" applyAlignment="1">
      <alignment horizontal="justify" vertical="center" wrapText="1"/>
    </xf>
    <xf numFmtId="0" fontId="19" fillId="3" borderId="45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1" fillId="5" borderId="10" xfId="0" applyFont="1" applyFill="1" applyBorder="1" applyAlignment="1">
      <alignment horizontal="justify" vertical="center" wrapText="1"/>
    </xf>
    <xf numFmtId="0" fontId="11" fillId="5" borderId="45" xfId="0" applyFont="1" applyFill="1" applyBorder="1" applyAlignment="1">
      <alignment horizontal="justify" vertical="center" wrapText="1"/>
    </xf>
    <xf numFmtId="0" fontId="11" fillId="5" borderId="11" xfId="0" applyFont="1" applyFill="1" applyBorder="1" applyAlignment="1">
      <alignment horizontal="justify" vertical="center" wrapText="1"/>
    </xf>
    <xf numFmtId="0" fontId="19" fillId="4" borderId="10" xfId="0" applyFont="1" applyFill="1" applyBorder="1" applyAlignment="1">
      <alignment horizontal="justify" vertical="center" wrapText="1"/>
    </xf>
    <xf numFmtId="0" fontId="19" fillId="4" borderId="45" xfId="0" applyFont="1" applyFill="1" applyBorder="1" applyAlignment="1">
      <alignment horizontal="justify" vertical="center" wrapText="1"/>
    </xf>
    <xf numFmtId="0" fontId="19" fillId="4" borderId="11" xfId="0" applyFont="1" applyFill="1" applyBorder="1" applyAlignment="1">
      <alignment horizontal="justify" vertical="center" wrapText="1"/>
    </xf>
    <xf numFmtId="0" fontId="19" fillId="22" borderId="2" xfId="0" applyFont="1" applyFill="1" applyBorder="1" applyAlignment="1">
      <alignment horizontal="justify" vertical="center" wrapText="1"/>
    </xf>
    <xf numFmtId="0" fontId="19" fillId="22" borderId="39" xfId="0" applyFont="1" applyFill="1" applyBorder="1" applyAlignment="1">
      <alignment horizontal="justify" vertical="center" wrapText="1"/>
    </xf>
    <xf numFmtId="0" fontId="19" fillId="22" borderId="3" xfId="0" applyFont="1" applyFill="1" applyBorder="1" applyAlignment="1">
      <alignment horizontal="justify" vertical="center" wrapText="1"/>
    </xf>
    <xf numFmtId="0" fontId="19" fillId="22" borderId="25" xfId="0" applyFont="1" applyFill="1" applyBorder="1" applyAlignment="1">
      <alignment horizontal="justify" vertical="center" wrapText="1"/>
    </xf>
    <xf numFmtId="0" fontId="19" fillId="22" borderId="17" xfId="0" applyFont="1" applyFill="1" applyBorder="1" applyAlignment="1">
      <alignment horizontal="justify" vertical="center" wrapText="1"/>
    </xf>
    <xf numFmtId="0" fontId="19" fillId="22" borderId="18" xfId="0" applyFont="1" applyFill="1" applyBorder="1" applyAlignment="1">
      <alignment horizontal="justify" vertical="center" wrapText="1"/>
    </xf>
    <xf numFmtId="0" fontId="19" fillId="22" borderId="40" xfId="0" applyFont="1" applyFill="1" applyBorder="1" applyAlignment="1">
      <alignment horizontal="justify" vertical="center" wrapText="1"/>
    </xf>
    <xf numFmtId="0" fontId="19" fillId="22" borderId="41" xfId="0" applyFont="1" applyFill="1" applyBorder="1" applyAlignment="1">
      <alignment horizontal="justify" vertical="center" wrapText="1"/>
    </xf>
    <xf numFmtId="0" fontId="19" fillId="22" borderId="42" xfId="0" applyFont="1" applyFill="1" applyBorder="1" applyAlignment="1">
      <alignment horizontal="justify" vertical="center" wrapText="1"/>
    </xf>
    <xf numFmtId="0" fontId="19" fillId="22" borderId="43" xfId="0" applyFont="1" applyFill="1" applyBorder="1" applyAlignment="1">
      <alignment horizontal="justify" vertical="center" wrapText="1"/>
    </xf>
    <xf numFmtId="0" fontId="19" fillId="22" borderId="16" xfId="0" applyFont="1" applyFill="1" applyBorder="1" applyAlignment="1">
      <alignment horizontal="justify" vertical="center" wrapText="1"/>
    </xf>
    <xf numFmtId="0" fontId="19" fillId="6" borderId="2" xfId="0" applyFont="1" applyFill="1" applyBorder="1" applyAlignment="1">
      <alignment horizontal="justify" vertical="center" wrapText="1"/>
    </xf>
    <xf numFmtId="0" fontId="19" fillId="6" borderId="39" xfId="0" applyFont="1" applyFill="1" applyBorder="1" applyAlignment="1">
      <alignment horizontal="justify" vertical="center" wrapText="1"/>
    </xf>
    <xf numFmtId="0" fontId="19" fillId="6" borderId="25" xfId="0" applyFont="1" applyFill="1" applyBorder="1" applyAlignment="1">
      <alignment horizontal="justify" vertical="center" wrapText="1"/>
    </xf>
    <xf numFmtId="0" fontId="19" fillId="6" borderId="17" xfId="0" applyFont="1" applyFill="1" applyBorder="1" applyAlignment="1">
      <alignment horizontal="justify" vertical="center" wrapText="1"/>
    </xf>
    <xf numFmtId="0" fontId="19" fillId="6" borderId="33" xfId="0" applyFont="1" applyFill="1" applyBorder="1" applyAlignment="1">
      <alignment horizontal="justify" vertical="center" wrapText="1"/>
    </xf>
    <xf numFmtId="0" fontId="19" fillId="6" borderId="40" xfId="0" applyFont="1" applyFill="1" applyBorder="1" applyAlignment="1">
      <alignment horizontal="justify" vertical="center" wrapText="1"/>
    </xf>
    <xf numFmtId="0" fontId="19" fillId="6" borderId="41" xfId="0" applyFont="1" applyFill="1" applyBorder="1" applyAlignment="1">
      <alignment horizontal="justify" vertical="center" wrapText="1"/>
    </xf>
    <xf numFmtId="0" fontId="19" fillId="6" borderId="42" xfId="0" applyFont="1" applyFill="1" applyBorder="1" applyAlignment="1">
      <alignment horizontal="justify" vertical="center" wrapText="1"/>
    </xf>
    <xf numFmtId="0" fontId="19" fillId="23" borderId="42" xfId="0" applyFont="1" applyFill="1" applyBorder="1" applyAlignment="1">
      <alignment horizontal="justify" vertical="center" wrapText="1"/>
    </xf>
    <xf numFmtId="0" fontId="19" fillId="23" borderId="16" xfId="0" applyFont="1" applyFill="1" applyBorder="1" applyAlignment="1">
      <alignment horizontal="justify" vertical="center" wrapText="1"/>
    </xf>
    <xf numFmtId="0" fontId="11" fillId="16" borderId="46" xfId="0" applyFont="1" applyFill="1" applyBorder="1" applyAlignment="1">
      <alignment horizontal="justify" vertical="center" wrapText="1"/>
    </xf>
    <xf numFmtId="0" fontId="11" fillId="16" borderId="47" xfId="0" applyFont="1" applyFill="1" applyBorder="1" applyAlignment="1">
      <alignment horizontal="justify" vertical="center" wrapText="1"/>
    </xf>
    <xf numFmtId="0" fontId="11" fillId="16" borderId="48" xfId="0" applyFont="1" applyFill="1" applyBorder="1" applyAlignment="1">
      <alignment horizontal="justify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9" fillId="5" borderId="45" xfId="0" applyFont="1" applyFill="1" applyBorder="1" applyAlignment="1">
      <alignment horizontal="justify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1" fillId="7" borderId="10" xfId="0" applyFont="1" applyFill="1" applyBorder="1" applyAlignment="1">
      <alignment horizontal="justify" vertical="center" wrapText="1"/>
    </xf>
    <xf numFmtId="0" fontId="11" fillId="7" borderId="45" xfId="0" applyFont="1" applyFill="1" applyBorder="1" applyAlignment="1">
      <alignment horizontal="justify" vertical="center" wrapText="1"/>
    </xf>
    <xf numFmtId="0" fontId="11" fillId="7" borderId="11" xfId="0" applyFont="1" applyFill="1" applyBorder="1" applyAlignment="1">
      <alignment horizontal="justify" vertical="center" wrapText="1"/>
    </xf>
    <xf numFmtId="0" fontId="19" fillId="27" borderId="10" xfId="0" applyFont="1" applyFill="1" applyBorder="1" applyAlignment="1">
      <alignment horizontal="justify" vertical="center" wrapText="1"/>
    </xf>
    <xf numFmtId="0" fontId="19" fillId="27" borderId="45" xfId="0" applyFont="1" applyFill="1" applyBorder="1" applyAlignment="1">
      <alignment horizontal="justify" vertical="center" wrapText="1"/>
    </xf>
    <xf numFmtId="0" fontId="19" fillId="27" borderId="11" xfId="0" applyFont="1" applyFill="1" applyBorder="1" applyAlignment="1">
      <alignment horizontal="justify" vertical="center" wrapText="1"/>
    </xf>
    <xf numFmtId="0" fontId="19" fillId="24" borderId="2" xfId="0" applyFont="1" applyFill="1" applyBorder="1" applyAlignment="1">
      <alignment horizontal="justify" vertical="center" wrapText="1"/>
    </xf>
    <xf numFmtId="0" fontId="19" fillId="24" borderId="39" xfId="0" applyFont="1" applyFill="1" applyBorder="1" applyAlignment="1">
      <alignment horizontal="justify" vertical="center" wrapText="1"/>
    </xf>
    <xf numFmtId="0" fontId="19" fillId="24" borderId="3" xfId="0" applyFont="1" applyFill="1" applyBorder="1" applyAlignment="1">
      <alignment horizontal="justify" vertical="center" wrapText="1"/>
    </xf>
    <xf numFmtId="0" fontId="19" fillId="24" borderId="25" xfId="0" applyFont="1" applyFill="1" applyBorder="1" applyAlignment="1">
      <alignment horizontal="justify" vertical="center" wrapText="1"/>
    </xf>
    <xf numFmtId="0" fontId="19" fillId="24" borderId="17" xfId="0" applyFont="1" applyFill="1" applyBorder="1" applyAlignment="1">
      <alignment horizontal="justify" vertical="center" wrapText="1"/>
    </xf>
    <xf numFmtId="0" fontId="19" fillId="24" borderId="40" xfId="0" applyFont="1" applyFill="1" applyBorder="1" applyAlignment="1">
      <alignment horizontal="justify" vertical="center" wrapText="1"/>
    </xf>
    <xf numFmtId="0" fontId="19" fillId="24" borderId="41" xfId="0" applyFont="1" applyFill="1" applyBorder="1" applyAlignment="1">
      <alignment horizontal="justify" vertical="center" wrapText="1"/>
    </xf>
    <xf numFmtId="0" fontId="19" fillId="24" borderId="42" xfId="0" applyFont="1" applyFill="1" applyBorder="1" applyAlignment="1">
      <alignment horizontal="justify" vertical="center" wrapText="1"/>
    </xf>
    <xf numFmtId="0" fontId="19" fillId="24" borderId="43" xfId="0" applyFont="1" applyFill="1" applyBorder="1" applyAlignment="1">
      <alignment horizontal="justify" vertical="center" wrapText="1"/>
    </xf>
    <xf numFmtId="0" fontId="19" fillId="24" borderId="16" xfId="0" applyFont="1" applyFill="1" applyBorder="1" applyAlignment="1">
      <alignment horizontal="justify" vertical="center" wrapText="1"/>
    </xf>
    <xf numFmtId="0" fontId="19" fillId="3" borderId="2" xfId="0" applyFont="1" applyFill="1" applyBorder="1" applyAlignment="1">
      <alignment horizontal="justify" vertical="center" wrapText="1"/>
    </xf>
    <xf numFmtId="0" fontId="19" fillId="3" borderId="39" xfId="0" applyFont="1" applyFill="1" applyBorder="1" applyAlignment="1">
      <alignment horizontal="justify" vertical="center" wrapText="1"/>
    </xf>
    <xf numFmtId="0" fontId="19" fillId="3" borderId="25" xfId="0" applyFont="1" applyFill="1" applyBorder="1" applyAlignment="1">
      <alignment horizontal="justify" vertical="center" wrapText="1"/>
    </xf>
    <xf numFmtId="0" fontId="19" fillId="3" borderId="17" xfId="0" applyFont="1" applyFill="1" applyBorder="1" applyAlignment="1">
      <alignment horizontal="justify" vertical="center" wrapText="1"/>
    </xf>
    <xf numFmtId="0" fontId="19" fillId="3" borderId="33" xfId="0" applyFont="1" applyFill="1" applyBorder="1" applyAlignment="1">
      <alignment horizontal="justify" vertical="center" wrapText="1"/>
    </xf>
    <xf numFmtId="0" fontId="19" fillId="3" borderId="40" xfId="0" applyFont="1" applyFill="1" applyBorder="1" applyAlignment="1">
      <alignment horizontal="justify" vertical="center" wrapText="1"/>
    </xf>
    <xf numFmtId="0" fontId="19" fillId="3" borderId="41" xfId="0" applyFont="1" applyFill="1" applyBorder="1" applyAlignment="1">
      <alignment horizontal="justify" vertical="center" wrapText="1"/>
    </xf>
    <xf numFmtId="0" fontId="19" fillId="3" borderId="42" xfId="0" applyFont="1" applyFill="1" applyBorder="1" applyAlignment="1">
      <alignment horizontal="justify" vertical="center" wrapText="1"/>
    </xf>
    <xf numFmtId="0" fontId="19" fillId="25" borderId="42" xfId="0" applyFont="1" applyFill="1" applyBorder="1" applyAlignment="1">
      <alignment horizontal="justify" vertical="center" wrapText="1"/>
    </xf>
    <xf numFmtId="0" fontId="19" fillId="25" borderId="16" xfId="0" applyFont="1" applyFill="1" applyBorder="1" applyAlignment="1">
      <alignment horizontal="justify" vertical="center" wrapText="1"/>
    </xf>
    <xf numFmtId="0" fontId="11" fillId="5" borderId="46" xfId="0" applyFont="1" applyFill="1" applyBorder="1" applyAlignment="1">
      <alignment horizontal="justify" vertical="center" wrapText="1"/>
    </xf>
    <xf numFmtId="0" fontId="11" fillId="5" borderId="47" xfId="0" applyFont="1" applyFill="1" applyBorder="1" applyAlignment="1">
      <alignment horizontal="justify" vertical="center" wrapText="1"/>
    </xf>
    <xf numFmtId="0" fontId="11" fillId="5" borderId="48" xfId="0" applyFont="1" applyFill="1" applyBorder="1" applyAlignment="1">
      <alignment horizontal="justify" vertical="center" wrapText="1"/>
    </xf>
    <xf numFmtId="0" fontId="19" fillId="12" borderId="10" xfId="0" applyFont="1" applyFill="1" applyBorder="1" applyAlignment="1">
      <alignment horizontal="justify" vertical="center" wrapText="1"/>
    </xf>
    <xf numFmtId="0" fontId="19" fillId="12" borderId="45" xfId="0" applyFont="1" applyFill="1" applyBorder="1" applyAlignment="1">
      <alignment horizontal="justify" vertical="center" wrapText="1"/>
    </xf>
    <xf numFmtId="0" fontId="19" fillId="12" borderId="11" xfId="0" applyFont="1" applyFill="1" applyBorder="1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3" fillId="4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7" xfId="0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8F00"/>
      <color rgb="FF00FDFF"/>
      <color rgb="FF0432FF"/>
      <color rgb="FFFF21B8"/>
      <color rgb="FFED7D31"/>
      <color rgb="FF00BAFF"/>
      <color rgb="FFC752FE"/>
      <color rgb="FFD883FF"/>
      <color rgb="FFFF40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Z76"/>
  <sheetViews>
    <sheetView tabSelected="1" topLeftCell="I1" zoomScaleNormal="160" workbookViewId="0">
      <selection activeCell="J10" sqref="J10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54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2.6640625" bestFit="1" customWidth="1"/>
    <col min="28" max="33" width="3.83203125" customWidth="1"/>
    <col min="34" max="35" width="3.6640625" bestFit="1" customWidth="1"/>
    <col min="36" max="36" width="3.83203125" customWidth="1"/>
    <col min="37" max="38" width="4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  <col min="49" max="49" width="5" customWidth="1"/>
    <col min="50" max="61" width="4.5" customWidth="1"/>
    <col min="62" max="62" width="4.6640625" customWidth="1"/>
    <col min="63" max="63" width="4.83203125" customWidth="1"/>
    <col min="65" max="65" width="3.33203125" customWidth="1"/>
    <col min="66" max="78" width="4.5" customWidth="1"/>
  </cols>
  <sheetData>
    <row r="1" spans="9:78" ht="16" customHeight="1">
      <c r="N1" s="310" t="s">
        <v>135</v>
      </c>
      <c r="O1" s="310"/>
    </row>
    <row r="2" spans="9:78" ht="17" customHeight="1" thickBot="1">
      <c r="N2" s="310"/>
      <c r="O2" s="310"/>
    </row>
    <row r="3" spans="9:78" ht="17" customHeight="1" thickBot="1">
      <c r="I3" s="7"/>
      <c r="J3" s="25" t="s">
        <v>137</v>
      </c>
      <c r="K3" s="36"/>
      <c r="N3" s="310"/>
      <c r="O3" s="310"/>
      <c r="AA3" t="s">
        <v>0</v>
      </c>
    </row>
    <row r="4" spans="9:78" ht="17" customHeight="1" thickBot="1">
      <c r="I4" s="7" t="s">
        <v>1</v>
      </c>
      <c r="J4" s="3">
        <v>45770</v>
      </c>
      <c r="K4" s="291" t="s">
        <v>2</v>
      </c>
      <c r="N4" s="310"/>
      <c r="O4" s="310"/>
      <c r="S4" s="36" t="s">
        <v>131</v>
      </c>
      <c r="AB4" s="36"/>
      <c r="AC4" s="187">
        <v>6</v>
      </c>
      <c r="AD4" s="187">
        <v>6</v>
      </c>
      <c r="AE4" s="187">
        <v>6</v>
      </c>
      <c r="AF4" s="187">
        <v>6</v>
      </c>
      <c r="AG4" s="187">
        <v>5</v>
      </c>
      <c r="AH4" s="187">
        <v>4</v>
      </c>
      <c r="AI4" s="187">
        <v>3</v>
      </c>
      <c r="AJ4" s="187">
        <v>2</v>
      </c>
      <c r="AK4" s="187">
        <v>1</v>
      </c>
      <c r="AL4" s="187">
        <v>0</v>
      </c>
      <c r="AM4" s="187" t="s">
        <v>3</v>
      </c>
      <c r="AU4" t="s">
        <v>4</v>
      </c>
    </row>
    <row r="5" spans="9:78" ht="17" thickBot="1">
      <c r="K5" s="291"/>
      <c r="L5" s="7" t="s">
        <v>5</v>
      </c>
      <c r="M5" s="4">
        <v>63</v>
      </c>
      <c r="N5" s="310"/>
      <c r="O5" s="310"/>
      <c r="S5" s="292" t="s">
        <v>6</v>
      </c>
      <c r="W5" s="69" t="s">
        <v>7</v>
      </c>
      <c r="X5" s="67" t="s">
        <v>8</v>
      </c>
      <c r="Y5" s="67" t="s">
        <v>9</v>
      </c>
      <c r="AA5" s="37"/>
      <c r="AB5" s="91">
        <v>1</v>
      </c>
      <c r="AC5" s="99">
        <v>2</v>
      </c>
      <c r="AD5" s="104">
        <v>3</v>
      </c>
      <c r="AE5" s="100">
        <v>4</v>
      </c>
      <c r="AF5" s="100">
        <v>5</v>
      </c>
      <c r="AG5" s="100">
        <v>6</v>
      </c>
      <c r="AH5" s="100">
        <v>7</v>
      </c>
      <c r="AI5" s="100">
        <v>8</v>
      </c>
      <c r="AJ5" s="100">
        <v>9</v>
      </c>
      <c r="AK5" s="100">
        <v>10</v>
      </c>
      <c r="AL5" s="100">
        <v>11</v>
      </c>
      <c r="AM5" s="58">
        <v>12</v>
      </c>
      <c r="AX5" s="36"/>
      <c r="AY5" s="187">
        <v>6</v>
      </c>
      <c r="AZ5" s="187">
        <v>6</v>
      </c>
      <c r="BA5" s="187">
        <v>6</v>
      </c>
      <c r="BB5" s="187">
        <v>6</v>
      </c>
      <c r="BC5" s="187">
        <v>5</v>
      </c>
      <c r="BD5" s="187">
        <v>4</v>
      </c>
      <c r="BE5" s="187">
        <v>3</v>
      </c>
      <c r="BF5" s="187">
        <v>2</v>
      </c>
      <c r="BG5" s="187">
        <v>1</v>
      </c>
      <c r="BH5" s="187">
        <v>0</v>
      </c>
      <c r="BI5" s="187" t="s">
        <v>3</v>
      </c>
      <c r="BP5" s="187">
        <v>6</v>
      </c>
      <c r="BQ5" s="187">
        <v>6</v>
      </c>
      <c r="BR5" s="187">
        <v>6</v>
      </c>
      <c r="BS5" s="187">
        <v>6</v>
      </c>
      <c r="BT5" s="187">
        <v>5</v>
      </c>
      <c r="BU5" s="187">
        <v>4</v>
      </c>
      <c r="BV5" s="187">
        <v>3</v>
      </c>
      <c r="BW5" s="187">
        <v>2</v>
      </c>
      <c r="BX5" s="187">
        <v>1</v>
      </c>
      <c r="BY5" s="187">
        <v>0</v>
      </c>
      <c r="BZ5" s="186" t="s">
        <v>3</v>
      </c>
    </row>
    <row r="6" spans="9:78" ht="17" thickBot="1">
      <c r="I6" s="285" t="s">
        <v>10</v>
      </c>
      <c r="J6" s="286"/>
      <c r="K6" s="291"/>
      <c r="N6" s="310"/>
      <c r="O6" s="310"/>
      <c r="S6" s="293"/>
      <c r="T6" s="41" t="s">
        <v>11</v>
      </c>
      <c r="U6" s="41" t="s">
        <v>12</v>
      </c>
      <c r="W6" s="18" t="s">
        <v>13</v>
      </c>
      <c r="X6" s="70" t="s">
        <v>14</v>
      </c>
      <c r="Y6" s="71">
        <v>399</v>
      </c>
      <c r="AA6" s="121" t="s">
        <v>15</v>
      </c>
      <c r="AB6" s="98"/>
      <c r="AC6" s="98"/>
      <c r="AD6" s="98"/>
      <c r="AE6" s="184"/>
      <c r="AF6" s="184"/>
      <c r="AG6" s="184"/>
      <c r="AH6" s="184"/>
      <c r="AI6" s="184"/>
      <c r="AJ6" s="184"/>
      <c r="AK6" s="184"/>
      <c r="AL6" s="184"/>
      <c r="AM6" s="184"/>
      <c r="AT6" s="294" t="s">
        <v>16</v>
      </c>
      <c r="AU6" s="295"/>
      <c r="AW6" s="37"/>
      <c r="AX6" s="91">
        <v>1</v>
      </c>
      <c r="AY6" s="99">
        <v>2</v>
      </c>
      <c r="AZ6" s="104">
        <v>3</v>
      </c>
      <c r="BA6" s="100">
        <v>4</v>
      </c>
      <c r="BB6" s="100">
        <v>5</v>
      </c>
      <c r="BC6" s="100">
        <v>6</v>
      </c>
      <c r="BD6" s="100">
        <v>7</v>
      </c>
      <c r="BE6" s="100">
        <v>8</v>
      </c>
      <c r="BF6" s="100">
        <v>9</v>
      </c>
      <c r="BG6" s="100">
        <v>10</v>
      </c>
      <c r="BH6" s="100">
        <v>11</v>
      </c>
      <c r="BI6" s="58">
        <v>12</v>
      </c>
      <c r="BL6" s="296" t="s">
        <v>17</v>
      </c>
      <c r="BN6" s="37"/>
      <c r="BO6" s="91">
        <v>1</v>
      </c>
      <c r="BP6" s="99">
        <v>2</v>
      </c>
      <c r="BQ6" s="104">
        <v>3</v>
      </c>
      <c r="BR6" s="100">
        <v>4</v>
      </c>
      <c r="BS6" s="100">
        <v>5</v>
      </c>
      <c r="BT6" s="100">
        <v>6</v>
      </c>
      <c r="BU6" s="100">
        <v>7</v>
      </c>
      <c r="BV6" s="100">
        <v>8</v>
      </c>
      <c r="BW6" s="100">
        <v>9</v>
      </c>
      <c r="BX6" s="100">
        <v>10</v>
      </c>
      <c r="BY6" s="100">
        <v>11</v>
      </c>
      <c r="BZ6" s="58">
        <v>12</v>
      </c>
    </row>
    <row r="7" spans="9:78" ht="17" thickBot="1">
      <c r="I7" s="287"/>
      <c r="J7" s="288"/>
      <c r="K7" s="291"/>
      <c r="L7" s="289" t="s">
        <v>18</v>
      </c>
      <c r="M7" s="290"/>
      <c r="N7" s="310"/>
      <c r="O7" s="310"/>
      <c r="R7" s="26"/>
      <c r="S7" s="42" t="s">
        <v>19</v>
      </c>
      <c r="T7" s="43">
        <v>95</v>
      </c>
      <c r="U7" s="44">
        <v>8.3333333333333329E-2</v>
      </c>
      <c r="W7" s="18" t="s">
        <v>20</v>
      </c>
      <c r="X7" s="72" t="s">
        <v>21</v>
      </c>
      <c r="Y7" s="73">
        <v>478</v>
      </c>
      <c r="AA7" s="121" t="s">
        <v>22</v>
      </c>
      <c r="AB7" s="184"/>
      <c r="AC7" s="244">
        <v>618</v>
      </c>
      <c r="AD7" s="245"/>
      <c r="AE7" s="246"/>
      <c r="AF7" s="223">
        <v>6</v>
      </c>
      <c r="AG7" s="224">
        <v>5</v>
      </c>
      <c r="AH7" s="224">
        <v>4</v>
      </c>
      <c r="AI7" s="225">
        <v>3</v>
      </c>
      <c r="AJ7" s="224">
        <v>2</v>
      </c>
      <c r="AK7" s="224">
        <v>1</v>
      </c>
      <c r="AL7" s="226">
        <v>0</v>
      </c>
      <c r="AM7" s="185" t="s">
        <v>23</v>
      </c>
      <c r="AT7" s="295"/>
      <c r="AU7" s="295"/>
      <c r="AW7" s="121" t="s">
        <v>15</v>
      </c>
      <c r="AX7" s="116"/>
      <c r="AY7" s="156"/>
      <c r="AZ7" s="157"/>
      <c r="BA7" s="136"/>
      <c r="BB7" s="136"/>
      <c r="BC7" s="136"/>
      <c r="BD7" s="136"/>
      <c r="BE7" s="136"/>
      <c r="BF7" s="136"/>
      <c r="BG7" s="136"/>
      <c r="BH7" s="136"/>
      <c r="BI7" s="180"/>
      <c r="BL7" s="296"/>
      <c r="BN7" s="121" t="s">
        <v>15</v>
      </c>
      <c r="BO7" s="98"/>
      <c r="BP7" s="98"/>
      <c r="BQ7" s="98"/>
      <c r="BR7" s="184"/>
      <c r="BS7" s="184"/>
      <c r="BT7" s="184"/>
      <c r="BU7" s="184"/>
      <c r="BV7" s="184"/>
      <c r="BW7" s="184"/>
      <c r="BX7" s="184"/>
      <c r="BY7" s="184"/>
      <c r="BZ7" s="184"/>
    </row>
    <row r="8" spans="9:78" ht="18" customHeight="1" thickBot="1">
      <c r="K8" t="s">
        <v>24</v>
      </c>
      <c r="L8" s="5">
        <v>1</v>
      </c>
      <c r="M8" s="10">
        <v>68</v>
      </c>
      <c r="N8" s="311"/>
      <c r="O8" s="311"/>
      <c r="S8" s="46" t="s">
        <v>25</v>
      </c>
      <c r="T8" s="1">
        <v>95</v>
      </c>
      <c r="U8" s="113">
        <v>6.9444444444444441E-3</v>
      </c>
      <c r="W8" s="18" t="s">
        <v>26</v>
      </c>
      <c r="X8" s="74" t="s">
        <v>27</v>
      </c>
      <c r="Y8" s="75">
        <v>479</v>
      </c>
      <c r="AA8" s="121" t="s">
        <v>28</v>
      </c>
      <c r="AB8" s="98"/>
      <c r="AC8" s="214">
        <v>619</v>
      </c>
      <c r="AD8" s="215"/>
      <c r="AE8" s="216"/>
      <c r="AF8" s="227">
        <v>6</v>
      </c>
      <c r="AG8" s="128">
        <v>5</v>
      </c>
      <c r="AH8" s="128">
        <v>4</v>
      </c>
      <c r="AI8" s="228">
        <v>3</v>
      </c>
      <c r="AJ8" s="128">
        <v>2</v>
      </c>
      <c r="AK8" s="128">
        <v>1</v>
      </c>
      <c r="AL8" s="229">
        <v>0</v>
      </c>
      <c r="AM8" s="185" t="s">
        <v>23</v>
      </c>
      <c r="AW8" s="121" t="s">
        <v>22</v>
      </c>
      <c r="AX8" s="124"/>
      <c r="AY8" s="162">
        <v>479</v>
      </c>
      <c r="AZ8" s="163"/>
      <c r="BA8" s="164"/>
      <c r="BB8" s="137">
        <v>6</v>
      </c>
      <c r="BC8" s="138">
        <v>5</v>
      </c>
      <c r="BD8" s="138">
        <v>4</v>
      </c>
      <c r="BE8" s="139">
        <v>3</v>
      </c>
      <c r="BF8" s="138">
        <v>2</v>
      </c>
      <c r="BG8" s="138">
        <v>1</v>
      </c>
      <c r="BH8" s="140">
        <v>0</v>
      </c>
      <c r="BI8" s="181" t="s">
        <v>23</v>
      </c>
      <c r="BN8" s="121" t="s">
        <v>22</v>
      </c>
      <c r="BO8" s="184"/>
      <c r="BP8" s="276">
        <v>399</v>
      </c>
      <c r="BQ8" s="277"/>
      <c r="BR8" s="278"/>
      <c r="BS8" s="256">
        <v>6</v>
      </c>
      <c r="BT8" s="257">
        <v>5</v>
      </c>
      <c r="BU8" s="257">
        <v>4</v>
      </c>
      <c r="BV8" s="258">
        <v>3</v>
      </c>
      <c r="BW8" s="257">
        <v>2</v>
      </c>
      <c r="BX8" s="257">
        <v>1</v>
      </c>
      <c r="BY8" s="259">
        <v>0</v>
      </c>
      <c r="BZ8" s="185" t="s">
        <v>23</v>
      </c>
    </row>
    <row r="9" spans="9:78" ht="18" customHeight="1" thickBot="1">
      <c r="I9" s="8" t="s">
        <v>29</v>
      </c>
      <c r="J9" s="9" t="s">
        <v>30</v>
      </c>
      <c r="K9" s="9" t="s">
        <v>31</v>
      </c>
      <c r="L9" s="9" t="s">
        <v>32</v>
      </c>
      <c r="M9" s="22" t="s">
        <v>33</v>
      </c>
      <c r="N9" s="297" t="s">
        <v>34</v>
      </c>
      <c r="O9" s="298"/>
      <c r="Q9" s="32"/>
      <c r="S9" s="47" t="s">
        <v>35</v>
      </c>
      <c r="T9" s="284">
        <v>67</v>
      </c>
      <c r="U9" s="113">
        <v>3.4722222222222224E-2</v>
      </c>
      <c r="W9" s="18" t="s">
        <v>26</v>
      </c>
      <c r="X9" s="76" t="s">
        <v>36</v>
      </c>
      <c r="Y9" s="77">
        <v>480</v>
      </c>
      <c r="AA9" s="121" t="s">
        <v>37</v>
      </c>
      <c r="AB9" s="98"/>
      <c r="AC9" s="247">
        <v>399</v>
      </c>
      <c r="AD9" s="248"/>
      <c r="AE9" s="249"/>
      <c r="AF9" s="230">
        <v>6</v>
      </c>
      <c r="AG9" s="231">
        <v>5</v>
      </c>
      <c r="AH9" s="231">
        <v>4</v>
      </c>
      <c r="AI9" s="232">
        <v>3</v>
      </c>
      <c r="AJ9" s="231">
        <v>2</v>
      </c>
      <c r="AK9" s="231">
        <v>1</v>
      </c>
      <c r="AL9" s="233">
        <v>0</v>
      </c>
      <c r="AM9" s="185" t="s">
        <v>23</v>
      </c>
      <c r="AW9" s="121" t="s">
        <v>28</v>
      </c>
      <c r="AX9" s="122"/>
      <c r="AY9" s="165">
        <v>480</v>
      </c>
      <c r="AZ9" s="166"/>
      <c r="BA9" s="167"/>
      <c r="BB9" s="141">
        <v>6</v>
      </c>
      <c r="BC9" s="126">
        <v>5</v>
      </c>
      <c r="BD9" s="126">
        <v>4</v>
      </c>
      <c r="BE9" s="125">
        <v>3</v>
      </c>
      <c r="BF9" s="126">
        <v>2</v>
      </c>
      <c r="BG9" s="126">
        <v>1</v>
      </c>
      <c r="BH9" s="142">
        <v>0</v>
      </c>
      <c r="BI9" s="182" t="s">
        <v>23</v>
      </c>
      <c r="BN9" s="121" t="s">
        <v>28</v>
      </c>
      <c r="BO9" s="98"/>
      <c r="BP9" s="220">
        <v>478</v>
      </c>
      <c r="BQ9" s="221"/>
      <c r="BR9" s="222"/>
      <c r="BS9" s="260">
        <v>6</v>
      </c>
      <c r="BT9" s="131">
        <v>5</v>
      </c>
      <c r="BU9" s="131">
        <v>4</v>
      </c>
      <c r="BV9" s="130">
        <v>3</v>
      </c>
      <c r="BW9" s="131">
        <v>2</v>
      </c>
      <c r="BX9" s="131">
        <v>1</v>
      </c>
      <c r="BY9" s="261">
        <v>0</v>
      </c>
      <c r="BZ9" s="185" t="s">
        <v>23</v>
      </c>
    </row>
    <row r="10" spans="9:78" ht="18" customHeight="1" thickBot="1">
      <c r="I10" s="2" t="s">
        <v>38</v>
      </c>
      <c r="J10" s="1"/>
      <c r="K10" s="1"/>
      <c r="L10" s="85">
        <f>L19-SUM(L11:L18)</f>
        <v>2.1000000000000014</v>
      </c>
      <c r="M10" s="84">
        <f>L10*$M$8</f>
        <v>142.8000000000001</v>
      </c>
      <c r="N10" s="27"/>
      <c r="O10" s="64" t="str">
        <f>I10</f>
        <v>Nuclease-free water</v>
      </c>
      <c r="R10" s="24"/>
      <c r="S10" s="48" t="s">
        <v>39</v>
      </c>
      <c r="T10" s="283">
        <v>50</v>
      </c>
      <c r="U10" s="114"/>
      <c r="W10" s="18" t="s">
        <v>26</v>
      </c>
      <c r="X10" s="78" t="s">
        <v>40</v>
      </c>
      <c r="Y10" s="79">
        <v>481</v>
      </c>
      <c r="AA10" s="121" t="s">
        <v>41</v>
      </c>
      <c r="AB10" s="98"/>
      <c r="AC10" s="220">
        <v>478</v>
      </c>
      <c r="AD10" s="221"/>
      <c r="AE10" s="222"/>
      <c r="AF10" s="234">
        <v>6</v>
      </c>
      <c r="AG10" s="235">
        <v>5</v>
      </c>
      <c r="AH10" s="235">
        <v>4</v>
      </c>
      <c r="AI10" s="235">
        <v>3</v>
      </c>
      <c r="AJ10" s="235">
        <v>2</v>
      </c>
      <c r="AK10" s="235">
        <v>1</v>
      </c>
      <c r="AL10" s="236">
        <v>0</v>
      </c>
      <c r="AM10" s="98"/>
      <c r="AW10" s="121" t="s">
        <v>37</v>
      </c>
      <c r="AX10" s="122"/>
      <c r="AY10" s="168">
        <v>481</v>
      </c>
      <c r="AZ10" s="169"/>
      <c r="BA10" s="170"/>
      <c r="BB10" s="143">
        <v>6</v>
      </c>
      <c r="BC10" s="144">
        <v>5</v>
      </c>
      <c r="BD10" s="144">
        <v>4</v>
      </c>
      <c r="BE10" s="145">
        <v>3</v>
      </c>
      <c r="BF10" s="144">
        <v>2</v>
      </c>
      <c r="BG10" s="144">
        <v>1</v>
      </c>
      <c r="BH10" s="146">
        <v>0</v>
      </c>
      <c r="BI10" s="183" t="s">
        <v>23</v>
      </c>
      <c r="BN10" s="121" t="s">
        <v>37</v>
      </c>
      <c r="BO10" s="98"/>
      <c r="BP10" s="279">
        <v>479</v>
      </c>
      <c r="BQ10" s="280"/>
      <c r="BR10" s="281"/>
      <c r="BS10" s="262">
        <v>6</v>
      </c>
      <c r="BT10" s="263">
        <v>5</v>
      </c>
      <c r="BU10" s="263">
        <v>4</v>
      </c>
      <c r="BV10" s="264">
        <v>3</v>
      </c>
      <c r="BW10" s="263">
        <v>2</v>
      </c>
      <c r="BX10" s="263">
        <v>1</v>
      </c>
      <c r="BY10" s="265">
        <v>0</v>
      </c>
      <c r="BZ10" s="185" t="s">
        <v>23</v>
      </c>
    </row>
    <row r="11" spans="9:78" ht="18" customHeight="1" thickBot="1">
      <c r="I11" s="2" t="s">
        <v>42</v>
      </c>
      <c r="J11" s="88" t="s">
        <v>43</v>
      </c>
      <c r="K11" s="68">
        <f>L35</f>
        <v>0.5</v>
      </c>
      <c r="L11" s="21">
        <f>L19*L35/K35</f>
        <v>0.2</v>
      </c>
      <c r="M11" s="23">
        <f>L11*$M$8</f>
        <v>13.600000000000001</v>
      </c>
      <c r="N11" s="27"/>
      <c r="O11" s="65" t="str">
        <f t="shared" ref="O11:O12" si="0">I11</f>
        <v>rpoB F Primer (MEP409)</v>
      </c>
      <c r="S11" s="115" t="s">
        <v>44</v>
      </c>
      <c r="T11" s="300" t="s">
        <v>45</v>
      </c>
      <c r="U11" s="301"/>
      <c r="W11" s="18" t="s">
        <v>46</v>
      </c>
      <c r="X11" s="80" t="s">
        <v>47</v>
      </c>
      <c r="Y11" s="81">
        <v>482</v>
      </c>
      <c r="AA11" s="121" t="s">
        <v>48</v>
      </c>
      <c r="AB11" s="184"/>
      <c r="AC11" s="159">
        <v>479</v>
      </c>
      <c r="AD11" s="160"/>
      <c r="AE11" s="161"/>
      <c r="AF11" s="237">
        <v>6</v>
      </c>
      <c r="AG11" s="238">
        <v>5</v>
      </c>
      <c r="AH11" s="238">
        <v>4</v>
      </c>
      <c r="AI11" s="238">
        <v>3</v>
      </c>
      <c r="AJ11" s="238">
        <v>2</v>
      </c>
      <c r="AK11" s="238">
        <v>1</v>
      </c>
      <c r="AL11" s="239">
        <v>0</v>
      </c>
      <c r="AM11" s="98"/>
      <c r="AW11" s="121" t="s">
        <v>41</v>
      </c>
      <c r="AX11" s="122"/>
      <c r="AY11" s="171">
        <v>482</v>
      </c>
      <c r="AZ11" s="172"/>
      <c r="BA11" s="173"/>
      <c r="BB11" s="147">
        <v>6</v>
      </c>
      <c r="BC11" s="148">
        <v>5</v>
      </c>
      <c r="BD11" s="148">
        <v>4</v>
      </c>
      <c r="BE11" s="148">
        <v>3</v>
      </c>
      <c r="BF11" s="148">
        <v>2</v>
      </c>
      <c r="BG11" s="148">
        <v>1</v>
      </c>
      <c r="BH11" s="149">
        <v>0</v>
      </c>
      <c r="BI11" s="129"/>
      <c r="BN11" s="121" t="s">
        <v>41</v>
      </c>
      <c r="BO11" s="98"/>
      <c r="BP11" s="253">
        <v>480</v>
      </c>
      <c r="BQ11" s="254"/>
      <c r="BR11" s="255"/>
      <c r="BS11" s="266">
        <v>6</v>
      </c>
      <c r="BT11" s="267">
        <v>5</v>
      </c>
      <c r="BU11" s="267">
        <v>4</v>
      </c>
      <c r="BV11" s="267">
        <v>3</v>
      </c>
      <c r="BW11" s="267">
        <v>2</v>
      </c>
      <c r="BX11" s="267">
        <v>1</v>
      </c>
      <c r="BY11" s="268">
        <v>0</v>
      </c>
      <c r="BZ11" s="98"/>
    </row>
    <row r="12" spans="9:78" ht="18" customHeight="1" thickBot="1">
      <c r="I12" s="2" t="s">
        <v>49</v>
      </c>
      <c r="J12" s="88" t="s">
        <v>50</v>
      </c>
      <c r="K12" s="68">
        <f>L36</f>
        <v>0.05</v>
      </c>
      <c r="L12" s="21">
        <f>L19*L36/K36</f>
        <v>0.2</v>
      </c>
      <c r="M12" s="23">
        <f>L12*$M$8</f>
        <v>13.600000000000001</v>
      </c>
      <c r="N12" s="27"/>
      <c r="O12" s="65" t="str">
        <f t="shared" si="0"/>
        <v>rpoB R Primer (MEP410)</v>
      </c>
      <c r="R12" s="24"/>
      <c r="S12" s="45" t="s">
        <v>51</v>
      </c>
      <c r="T12" s="304" t="s">
        <v>52</v>
      </c>
      <c r="U12" s="305"/>
      <c r="W12" s="18" t="s">
        <v>20</v>
      </c>
      <c r="X12" s="119" t="s">
        <v>53</v>
      </c>
      <c r="Y12" s="120">
        <v>618</v>
      </c>
      <c r="AA12" s="121" t="s">
        <v>54</v>
      </c>
      <c r="AB12" s="184"/>
      <c r="AC12" s="253">
        <v>480</v>
      </c>
      <c r="AD12" s="254"/>
      <c r="AE12" s="255"/>
      <c r="AF12" s="240">
        <v>6</v>
      </c>
      <c r="AG12" s="241">
        <v>5</v>
      </c>
      <c r="AH12" s="241">
        <v>4</v>
      </c>
      <c r="AI12" s="242">
        <v>3</v>
      </c>
      <c r="AJ12" s="242">
        <v>2</v>
      </c>
      <c r="AK12" s="241">
        <v>1</v>
      </c>
      <c r="AL12" s="243">
        <v>0</v>
      </c>
      <c r="AM12" s="184"/>
      <c r="AW12" s="121" t="s">
        <v>48</v>
      </c>
      <c r="AX12" s="124"/>
      <c r="AY12" s="174">
        <v>618</v>
      </c>
      <c r="AZ12" s="175"/>
      <c r="BA12" s="176"/>
      <c r="BB12" s="150">
        <v>6</v>
      </c>
      <c r="BC12" s="135">
        <v>5</v>
      </c>
      <c r="BD12" s="135">
        <v>4</v>
      </c>
      <c r="BE12" s="135">
        <v>3</v>
      </c>
      <c r="BF12" s="135">
        <v>2</v>
      </c>
      <c r="BG12" s="135">
        <v>1</v>
      </c>
      <c r="BH12" s="151">
        <v>0</v>
      </c>
      <c r="BI12" s="129"/>
      <c r="BN12" s="121" t="s">
        <v>48</v>
      </c>
      <c r="BO12" s="184"/>
      <c r="BP12" s="250">
        <v>481</v>
      </c>
      <c r="BQ12" s="251"/>
      <c r="BR12" s="252"/>
      <c r="BS12" s="269">
        <v>6</v>
      </c>
      <c r="BT12" s="270">
        <v>5</v>
      </c>
      <c r="BU12" s="270">
        <v>4</v>
      </c>
      <c r="BV12" s="270">
        <v>3</v>
      </c>
      <c r="BW12" s="270">
        <v>2</v>
      </c>
      <c r="BX12" s="270">
        <v>1</v>
      </c>
      <c r="BY12" s="271">
        <v>0</v>
      </c>
      <c r="BZ12" s="98"/>
    </row>
    <row r="13" spans="9:78" ht="17" customHeight="1" thickBot="1">
      <c r="I13" s="2" t="s">
        <v>55</v>
      </c>
      <c r="J13" s="20" t="s">
        <v>56</v>
      </c>
      <c r="K13" s="20" t="s">
        <v>57</v>
      </c>
      <c r="L13" s="21">
        <f>L19/2</f>
        <v>10</v>
      </c>
      <c r="M13" s="23">
        <f>L13*$M$8</f>
        <v>680</v>
      </c>
      <c r="N13" s="27"/>
      <c r="O13" s="65" t="str">
        <f>I13</f>
        <v>SensiFAST Probe No-ROX Kit</v>
      </c>
      <c r="R13" s="24"/>
      <c r="S13" s="306" t="s">
        <v>58</v>
      </c>
      <c r="T13" s="306"/>
      <c r="U13" s="306"/>
      <c r="W13" s="18" t="s">
        <v>20</v>
      </c>
      <c r="X13" s="117" t="s">
        <v>59</v>
      </c>
      <c r="Y13" s="118">
        <v>619</v>
      </c>
      <c r="AA13" s="121" t="s">
        <v>60</v>
      </c>
      <c r="AB13" s="184"/>
      <c r="AC13" s="184"/>
      <c r="AD13" s="184"/>
      <c r="AE13" s="98"/>
      <c r="AF13" s="184"/>
      <c r="AG13" s="184"/>
      <c r="AH13" s="98"/>
      <c r="AI13" s="184"/>
      <c r="AJ13" s="184"/>
      <c r="AK13" s="184"/>
      <c r="AL13" s="184"/>
      <c r="AM13" s="184"/>
      <c r="AW13" s="121" t="s">
        <v>54</v>
      </c>
      <c r="AX13" s="132"/>
      <c r="AY13" s="177">
        <v>619</v>
      </c>
      <c r="AZ13" s="178"/>
      <c r="BA13" s="179"/>
      <c r="BB13" s="152">
        <v>6</v>
      </c>
      <c r="BC13" s="153">
        <v>5</v>
      </c>
      <c r="BD13" s="153">
        <v>4</v>
      </c>
      <c r="BE13" s="154">
        <v>3</v>
      </c>
      <c r="BF13" s="154">
        <v>2</v>
      </c>
      <c r="BG13" s="153">
        <v>1</v>
      </c>
      <c r="BH13" s="155">
        <v>0</v>
      </c>
      <c r="BI13" s="123"/>
      <c r="BN13" s="121" t="s">
        <v>54</v>
      </c>
      <c r="BO13" s="184"/>
      <c r="BP13" s="171">
        <v>482</v>
      </c>
      <c r="BQ13" s="172"/>
      <c r="BR13" s="173"/>
      <c r="BS13" s="272">
        <v>6</v>
      </c>
      <c r="BT13" s="273">
        <v>5</v>
      </c>
      <c r="BU13" s="273">
        <v>4</v>
      </c>
      <c r="BV13" s="274">
        <v>3</v>
      </c>
      <c r="BW13" s="274">
        <v>2</v>
      </c>
      <c r="BX13" s="273">
        <v>1</v>
      </c>
      <c r="BY13" s="275">
        <v>0</v>
      </c>
      <c r="BZ13" s="184"/>
    </row>
    <row r="14" spans="9:78" ht="18" customHeight="1" thickBot="1">
      <c r="I14" s="2" t="s">
        <v>61</v>
      </c>
      <c r="J14" s="20" t="s">
        <v>62</v>
      </c>
      <c r="K14" s="66" t="s">
        <v>56</v>
      </c>
      <c r="L14" s="21">
        <f>L19*2/10</f>
        <v>4</v>
      </c>
      <c r="M14" s="102">
        <f>L14*$M$8</f>
        <v>272</v>
      </c>
      <c r="N14" s="27"/>
      <c r="O14" s="103" t="str">
        <f>I14</f>
        <v>LC Green Plus</v>
      </c>
      <c r="R14" s="24"/>
      <c r="S14" s="292"/>
      <c r="T14" s="292"/>
      <c r="U14" s="292"/>
      <c r="W14" s="18" t="s">
        <v>13</v>
      </c>
      <c r="X14" s="89" t="s">
        <v>63</v>
      </c>
      <c r="Y14" s="90" t="s">
        <v>64</v>
      </c>
      <c r="AA14" s="19"/>
      <c r="AW14" s="121" t="s">
        <v>60</v>
      </c>
      <c r="AX14" s="133"/>
      <c r="AY14" s="124"/>
      <c r="AZ14" s="134"/>
      <c r="BA14" s="129"/>
      <c r="BB14" s="123"/>
      <c r="BC14" s="123"/>
      <c r="BD14" s="129"/>
      <c r="BE14" s="123"/>
      <c r="BF14" s="123"/>
      <c r="BG14" s="123"/>
      <c r="BH14" s="123"/>
      <c r="BI14" s="123"/>
      <c r="BN14" s="121" t="s">
        <v>60</v>
      </c>
      <c r="BO14" s="184"/>
      <c r="BP14" s="184"/>
      <c r="BQ14" s="184"/>
      <c r="BR14" s="98"/>
      <c r="BS14" s="184"/>
      <c r="BT14" s="184"/>
      <c r="BU14" s="98"/>
      <c r="BV14" s="184"/>
      <c r="BW14" s="184"/>
      <c r="BX14" s="184"/>
      <c r="BY14" s="184"/>
      <c r="BZ14" s="184"/>
    </row>
    <row r="15" spans="9:78" ht="18" customHeight="1" thickBot="1">
      <c r="I15" s="2"/>
      <c r="J15" s="20"/>
      <c r="K15" s="20"/>
      <c r="L15" s="30"/>
      <c r="M15" s="1"/>
      <c r="N15" s="101"/>
      <c r="O15" s="101"/>
      <c r="S15" s="292"/>
      <c r="T15" s="292"/>
      <c r="U15" s="292"/>
      <c r="W15" s="34"/>
      <c r="AC15">
        <v>1</v>
      </c>
      <c r="AD15" t="s">
        <v>65</v>
      </c>
      <c r="AE15" s="33"/>
      <c r="AF15" s="33"/>
      <c r="AG15" s="33"/>
      <c r="AI15" s="19"/>
    </row>
    <row r="16" spans="9:78" ht="17" thickBot="1">
      <c r="I16" s="110" t="s">
        <v>66</v>
      </c>
      <c r="J16" s="86" t="s">
        <v>67</v>
      </c>
      <c r="K16" s="83">
        <v>0.25</v>
      </c>
      <c r="L16" s="111">
        <f>L19*K16/10</f>
        <v>0.5</v>
      </c>
      <c r="M16" s="112">
        <f>L16*$M$8</f>
        <v>34</v>
      </c>
      <c r="N16" s="110" t="s">
        <v>68</v>
      </c>
      <c r="W16" s="308" t="s">
        <v>69</v>
      </c>
      <c r="X16" s="299" t="s">
        <v>70</v>
      </c>
      <c r="Y16" s="299" t="s">
        <v>71</v>
      </c>
      <c r="AA16" s="87"/>
      <c r="AC16">
        <v>2</v>
      </c>
      <c r="AD16" t="s">
        <v>72</v>
      </c>
      <c r="AE16" s="33"/>
      <c r="AF16" s="33"/>
      <c r="AG16" s="33"/>
      <c r="AI16" s="19"/>
      <c r="AY16" s="187">
        <v>6</v>
      </c>
      <c r="AZ16" s="187">
        <v>6</v>
      </c>
      <c r="BA16" s="187">
        <v>6</v>
      </c>
      <c r="BB16" s="187">
        <v>6</v>
      </c>
      <c r="BC16" s="187">
        <v>5</v>
      </c>
      <c r="BD16" s="187">
        <v>4</v>
      </c>
      <c r="BE16" s="187">
        <v>3</v>
      </c>
      <c r="BF16" s="187">
        <v>2</v>
      </c>
      <c r="BG16" s="187">
        <v>1</v>
      </c>
      <c r="BH16" s="187">
        <v>0</v>
      </c>
      <c r="BI16" s="186" t="s">
        <v>3</v>
      </c>
    </row>
    <row r="17" spans="9:66" ht="17" customHeight="1" thickBot="1">
      <c r="I17" s="107" t="s">
        <v>73</v>
      </c>
      <c r="J17" s="86" t="str">
        <f>J16</f>
        <v>10 uM</v>
      </c>
      <c r="K17" s="83">
        <v>0.5</v>
      </c>
      <c r="L17" s="108">
        <f>L19*K17/10</f>
        <v>1</v>
      </c>
      <c r="M17" s="109">
        <f>L17*$M$8</f>
        <v>68</v>
      </c>
      <c r="N17" s="107" t="s">
        <v>74</v>
      </c>
      <c r="S17" s="307" t="s">
        <v>75</v>
      </c>
      <c r="T17" s="307"/>
      <c r="U17" s="307"/>
      <c r="W17" s="309"/>
      <c r="X17" s="299"/>
      <c r="Y17" s="299"/>
      <c r="AC17">
        <v>3</v>
      </c>
      <c r="AD17" t="s">
        <v>76</v>
      </c>
      <c r="AE17" s="57"/>
      <c r="AT17" s="294" t="s">
        <v>77</v>
      </c>
      <c r="AU17" s="295"/>
      <c r="AW17" s="37"/>
      <c r="AX17" s="91">
        <v>1</v>
      </c>
      <c r="AY17" s="99">
        <v>2</v>
      </c>
      <c r="AZ17" s="104">
        <v>3</v>
      </c>
      <c r="BA17" s="100">
        <v>4</v>
      </c>
      <c r="BB17" s="100">
        <v>5</v>
      </c>
      <c r="BC17" s="100">
        <v>6</v>
      </c>
      <c r="BD17" s="100">
        <v>7</v>
      </c>
      <c r="BE17" s="100">
        <v>8</v>
      </c>
      <c r="BF17" s="100">
        <v>9</v>
      </c>
      <c r="BG17" s="100">
        <v>10</v>
      </c>
      <c r="BH17" s="100">
        <v>11</v>
      </c>
      <c r="BI17" s="58">
        <v>12</v>
      </c>
      <c r="BN17" s="282" t="s">
        <v>78</v>
      </c>
    </row>
    <row r="18" spans="9:66" ht="16" customHeight="1" thickBot="1">
      <c r="I18" s="29" t="s">
        <v>134</v>
      </c>
      <c r="J18" s="60" t="s">
        <v>79</v>
      </c>
      <c r="K18" s="59"/>
      <c r="L18" s="61">
        <v>2</v>
      </c>
      <c r="M18" s="62" t="s">
        <v>80</v>
      </c>
      <c r="N18" s="29" t="s">
        <v>81</v>
      </c>
      <c r="Q18" s="39"/>
      <c r="S18" s="302" t="s">
        <v>82</v>
      </c>
      <c r="T18" s="302"/>
      <c r="U18" s="302"/>
      <c r="W18" s="1" t="s">
        <v>83</v>
      </c>
      <c r="X18" s="105">
        <f>M16</f>
        <v>34</v>
      </c>
      <c r="Y18" s="106">
        <f>M17</f>
        <v>68</v>
      </c>
      <c r="AC18">
        <v>4</v>
      </c>
      <c r="AD18" s="19" t="s">
        <v>84</v>
      </c>
      <c r="AE18" s="19"/>
      <c r="AG18" s="57"/>
      <c r="AT18" s="295"/>
      <c r="AU18" s="295"/>
      <c r="AW18" s="121" t="s">
        <v>15</v>
      </c>
      <c r="AX18" s="98"/>
      <c r="AY18" s="98"/>
      <c r="AZ18" s="98"/>
      <c r="BA18" s="184"/>
      <c r="BB18" s="184"/>
      <c r="BC18" s="184"/>
      <c r="BD18" s="184"/>
      <c r="BE18" s="184"/>
      <c r="BF18" s="184"/>
      <c r="BG18" s="184"/>
      <c r="BH18" s="184"/>
      <c r="BI18" s="184"/>
      <c r="BN18" t="s">
        <v>85</v>
      </c>
    </row>
    <row r="19" spans="9:66" ht="17" thickBot="1">
      <c r="K19" s="15" t="s">
        <v>86</v>
      </c>
      <c r="L19" s="16">
        <v>20</v>
      </c>
      <c r="M19" s="17"/>
      <c r="P19" s="39"/>
      <c r="S19" s="303"/>
      <c r="T19" s="303"/>
      <c r="U19" s="303"/>
      <c r="Z19" s="33"/>
      <c r="AW19" s="121" t="s">
        <v>22</v>
      </c>
      <c r="AX19" s="184"/>
      <c r="AY19" s="208">
        <v>481</v>
      </c>
      <c r="AZ19" s="209"/>
      <c r="BA19" s="210"/>
      <c r="BB19" s="188">
        <v>6</v>
      </c>
      <c r="BC19" s="189">
        <v>5</v>
      </c>
      <c r="BD19" s="189">
        <v>4</v>
      </c>
      <c r="BE19" s="190">
        <v>3</v>
      </c>
      <c r="BF19" s="189">
        <v>2</v>
      </c>
      <c r="BG19" s="189">
        <v>1</v>
      </c>
      <c r="BH19" s="191">
        <v>0</v>
      </c>
      <c r="BI19" s="185" t="s">
        <v>23</v>
      </c>
    </row>
    <row r="20" spans="9:66" ht="16" customHeight="1" thickBot="1">
      <c r="I20" t="s">
        <v>87</v>
      </c>
      <c r="K20" s="2" t="s">
        <v>24</v>
      </c>
      <c r="L20" s="93">
        <f>SUM(L10:L18)</f>
        <v>20</v>
      </c>
      <c r="M20" s="28">
        <f>SUM(M10:M16)</f>
        <v>1156</v>
      </c>
      <c r="P20" s="32"/>
      <c r="S20" s="82"/>
      <c r="T20" s="82"/>
      <c r="U20" s="82"/>
      <c r="Z20" s="33"/>
      <c r="AC20" s="285" t="s">
        <v>132</v>
      </c>
      <c r="AD20" s="312"/>
      <c r="AE20" s="312"/>
      <c r="AF20" s="312"/>
      <c r="AG20" s="312"/>
      <c r="AH20" s="312"/>
      <c r="AI20" s="312"/>
      <c r="AJ20" s="312"/>
      <c r="AK20" s="286"/>
      <c r="AW20" s="121" t="s">
        <v>28</v>
      </c>
      <c r="AX20" s="98"/>
      <c r="AY20" s="171">
        <v>482</v>
      </c>
      <c r="AZ20" s="172"/>
      <c r="BA20" s="173"/>
      <c r="BB20" s="192">
        <v>6</v>
      </c>
      <c r="BC20" s="127">
        <v>5</v>
      </c>
      <c r="BD20" s="127">
        <v>4</v>
      </c>
      <c r="BE20" s="193">
        <v>3</v>
      </c>
      <c r="BF20" s="127">
        <v>2</v>
      </c>
      <c r="BG20" s="127">
        <v>1</v>
      </c>
      <c r="BH20" s="194">
        <v>0</v>
      </c>
      <c r="BI20" s="185" t="s">
        <v>23</v>
      </c>
    </row>
    <row r="21" spans="9:66" ht="17" customHeight="1" thickBot="1">
      <c r="I21" t="s">
        <v>88</v>
      </c>
      <c r="K21" s="5" t="s">
        <v>89</v>
      </c>
      <c r="L21" s="6"/>
      <c r="M21" s="92">
        <f>SUM(L10:L15)</f>
        <v>16.5</v>
      </c>
      <c r="P21" s="40"/>
      <c r="S21" s="82"/>
      <c r="AC21" s="313"/>
      <c r="AD21" s="314"/>
      <c r="AE21" s="314"/>
      <c r="AF21" s="314"/>
      <c r="AG21" s="314"/>
      <c r="AH21" s="314"/>
      <c r="AI21" s="314"/>
      <c r="AJ21" s="314"/>
      <c r="AK21" s="315"/>
      <c r="AW21" s="121" t="s">
        <v>37</v>
      </c>
      <c r="AX21" s="98"/>
      <c r="AY21" s="211">
        <v>618</v>
      </c>
      <c r="AZ21" s="212"/>
      <c r="BA21" s="213"/>
      <c r="BB21" s="195">
        <v>6</v>
      </c>
      <c r="BC21" s="196">
        <v>5</v>
      </c>
      <c r="BD21" s="196">
        <v>4</v>
      </c>
      <c r="BE21" s="197">
        <v>3</v>
      </c>
      <c r="BF21" s="196">
        <v>2</v>
      </c>
      <c r="BG21" s="196">
        <v>1</v>
      </c>
      <c r="BH21" s="198">
        <v>0</v>
      </c>
      <c r="BI21" s="185" t="s">
        <v>23</v>
      </c>
    </row>
    <row r="22" spans="9:66" ht="16" customHeight="1" thickBot="1">
      <c r="I22" t="s">
        <v>90</v>
      </c>
      <c r="O22" s="11"/>
      <c r="P22" s="32"/>
      <c r="AC22" s="313"/>
      <c r="AD22" s="314"/>
      <c r="AE22" s="314"/>
      <c r="AF22" s="314"/>
      <c r="AG22" s="314"/>
      <c r="AH22" s="314"/>
      <c r="AI22" s="314"/>
      <c r="AJ22" s="314"/>
      <c r="AK22" s="315"/>
      <c r="AW22" s="121" t="s">
        <v>41</v>
      </c>
      <c r="AX22" s="98"/>
      <c r="AY22" s="214">
        <v>619</v>
      </c>
      <c r="AZ22" s="215"/>
      <c r="BA22" s="216"/>
      <c r="BB22" s="199">
        <v>6</v>
      </c>
      <c r="BC22" s="200">
        <v>5</v>
      </c>
      <c r="BD22" s="200">
        <v>4</v>
      </c>
      <c r="BE22" s="200">
        <v>3</v>
      </c>
      <c r="BF22" s="200">
        <v>2</v>
      </c>
      <c r="BG22" s="200">
        <v>1</v>
      </c>
      <c r="BH22" s="201">
        <v>0</v>
      </c>
      <c r="BI22" s="98"/>
      <c r="BM22" s="35"/>
    </row>
    <row r="23" spans="9:66" ht="17" thickBot="1">
      <c r="I23" t="s">
        <v>91</v>
      </c>
      <c r="J23" t="s">
        <v>92</v>
      </c>
      <c r="K23" t="s">
        <v>140</v>
      </c>
      <c r="X23" s="57"/>
      <c r="Z23" s="57"/>
      <c r="AC23" s="313"/>
      <c r="AD23" s="314"/>
      <c r="AE23" s="314"/>
      <c r="AF23" s="314"/>
      <c r="AG23" s="314"/>
      <c r="AH23" s="314"/>
      <c r="AI23" s="314"/>
      <c r="AJ23" s="314"/>
      <c r="AK23" s="315"/>
      <c r="AW23" s="121" t="s">
        <v>48</v>
      </c>
      <c r="AX23" s="184"/>
      <c r="AY23" s="217">
        <v>399</v>
      </c>
      <c r="AZ23" s="218"/>
      <c r="BA23" s="219"/>
      <c r="BB23" s="158">
        <v>6</v>
      </c>
      <c r="BC23" s="202">
        <v>5</v>
      </c>
      <c r="BD23" s="202">
        <v>4</v>
      </c>
      <c r="BE23" s="202">
        <v>3</v>
      </c>
      <c r="BF23" s="202">
        <v>2</v>
      </c>
      <c r="BG23" s="202">
        <v>1</v>
      </c>
      <c r="BH23" s="203">
        <v>0</v>
      </c>
      <c r="BI23" s="98"/>
    </row>
    <row r="24" spans="9:66" ht="17" thickBot="1">
      <c r="I24" t="s">
        <v>139</v>
      </c>
      <c r="Q24" s="11"/>
      <c r="W24" s="19"/>
      <c r="X24" s="19"/>
      <c r="AC24" s="313"/>
      <c r="AD24" s="314"/>
      <c r="AE24" s="314"/>
      <c r="AF24" s="314"/>
      <c r="AG24" s="314"/>
      <c r="AH24" s="314"/>
      <c r="AI24" s="314"/>
      <c r="AJ24" s="314"/>
      <c r="AK24" s="315"/>
      <c r="AW24" s="121" t="s">
        <v>54</v>
      </c>
      <c r="AX24" s="184"/>
      <c r="AY24" s="220">
        <v>478</v>
      </c>
      <c r="AZ24" s="221"/>
      <c r="BA24" s="222"/>
      <c r="BB24" s="204">
        <v>6</v>
      </c>
      <c r="BC24" s="205">
        <v>5</v>
      </c>
      <c r="BD24" s="205">
        <v>4</v>
      </c>
      <c r="BE24" s="206">
        <v>3</v>
      </c>
      <c r="BF24" s="206">
        <v>2</v>
      </c>
      <c r="BG24" s="205">
        <v>1</v>
      </c>
      <c r="BH24" s="207">
        <v>0</v>
      </c>
      <c r="BI24" s="184"/>
    </row>
    <row r="25" spans="9:66" ht="17" thickBot="1">
      <c r="I25" t="s">
        <v>133</v>
      </c>
      <c r="X25" s="19"/>
      <c r="AC25" s="313"/>
      <c r="AD25" s="314"/>
      <c r="AE25" s="314"/>
      <c r="AF25" s="314"/>
      <c r="AG25" s="314"/>
      <c r="AH25" s="314"/>
      <c r="AI25" s="314"/>
      <c r="AJ25" s="314"/>
      <c r="AK25" s="315"/>
      <c r="AW25" s="121" t="s">
        <v>60</v>
      </c>
      <c r="AX25" s="184"/>
      <c r="AY25" s="184"/>
      <c r="AZ25" s="184"/>
      <c r="BA25" s="98"/>
      <c r="BB25" s="184"/>
      <c r="BC25" s="184"/>
      <c r="BD25" s="98"/>
      <c r="BE25" s="184"/>
      <c r="BF25" s="184"/>
      <c r="BG25" s="184"/>
      <c r="BH25" s="184"/>
      <c r="BI25" s="184"/>
    </row>
    <row r="26" spans="9:66" ht="17" customHeight="1">
      <c r="I26" s="19" t="s">
        <v>136</v>
      </c>
      <c r="AC26" s="313"/>
      <c r="AD26" s="314"/>
      <c r="AE26" s="314"/>
      <c r="AF26" s="314"/>
      <c r="AG26" s="314"/>
      <c r="AH26" s="314"/>
      <c r="AI26" s="314"/>
      <c r="AJ26" s="314"/>
      <c r="AK26" s="315"/>
    </row>
    <row r="27" spans="9:66">
      <c r="I27" t="s">
        <v>93</v>
      </c>
      <c r="W27" s="36"/>
      <c r="X27" s="19"/>
      <c r="AC27" s="313"/>
      <c r="AD27" s="314"/>
      <c r="AE27" s="314"/>
      <c r="AF27" s="314"/>
      <c r="AG27" s="314"/>
      <c r="AH27" s="314"/>
      <c r="AI27" s="314"/>
      <c r="AJ27" s="314"/>
      <c r="AK27" s="315"/>
      <c r="AY27" s="187">
        <v>6</v>
      </c>
      <c r="AZ27" s="187">
        <v>6</v>
      </c>
      <c r="BA27" s="187">
        <v>6</v>
      </c>
      <c r="BB27" s="187">
        <v>6</v>
      </c>
      <c r="BC27" s="187">
        <v>5</v>
      </c>
      <c r="BD27" s="187">
        <v>4</v>
      </c>
      <c r="BE27" s="187">
        <v>3</v>
      </c>
      <c r="BF27" s="187">
        <v>2</v>
      </c>
      <c r="BG27" s="187">
        <v>1</v>
      </c>
      <c r="BH27" s="187">
        <v>0</v>
      </c>
      <c r="BI27" s="186" t="s">
        <v>3</v>
      </c>
    </row>
    <row r="28" spans="9:66" ht="16" customHeight="1" thickBot="1">
      <c r="I28" t="s">
        <v>94</v>
      </c>
      <c r="S28" s="36"/>
      <c r="W28" s="19"/>
      <c r="X28" s="19"/>
      <c r="AC28" s="287"/>
      <c r="AD28" s="316"/>
      <c r="AE28" s="316"/>
      <c r="AF28" s="316"/>
      <c r="AG28" s="316"/>
      <c r="AH28" s="316"/>
      <c r="AI28" s="316"/>
      <c r="AJ28" s="316"/>
      <c r="AK28" s="288"/>
      <c r="AT28" s="294" t="s">
        <v>95</v>
      </c>
      <c r="AU28" s="295"/>
      <c r="AW28" s="37"/>
      <c r="AX28" s="91">
        <v>1</v>
      </c>
      <c r="AY28" s="99">
        <v>2</v>
      </c>
      <c r="AZ28" s="104">
        <v>3</v>
      </c>
      <c r="BA28" s="100">
        <v>4</v>
      </c>
      <c r="BB28" s="100">
        <v>5</v>
      </c>
      <c r="BC28" s="100">
        <v>6</v>
      </c>
      <c r="BD28" s="100">
        <v>7</v>
      </c>
      <c r="BE28" s="100">
        <v>8</v>
      </c>
      <c r="BF28" s="100">
        <v>9</v>
      </c>
      <c r="BG28" s="100">
        <v>10</v>
      </c>
      <c r="BH28" s="100">
        <v>11</v>
      </c>
      <c r="BI28" s="58">
        <v>12</v>
      </c>
    </row>
    <row r="29" spans="9:66" ht="15" customHeight="1" thickBot="1">
      <c r="I29" t="s">
        <v>96</v>
      </c>
      <c r="K29" s="35"/>
      <c r="L29" s="94"/>
      <c r="M29" s="35"/>
      <c r="R29" s="24"/>
      <c r="W29" s="19"/>
      <c r="AT29" s="295"/>
      <c r="AU29" s="295"/>
      <c r="AW29" s="121" t="s">
        <v>15</v>
      </c>
      <c r="AX29" s="98"/>
      <c r="AY29" s="98"/>
      <c r="AZ29" s="98"/>
      <c r="BA29" s="184"/>
      <c r="BB29" s="184"/>
      <c r="BC29" s="184"/>
      <c r="BD29" s="184"/>
      <c r="BE29" s="184"/>
      <c r="BF29" s="184"/>
      <c r="BG29" s="184"/>
      <c r="BH29" s="184"/>
      <c r="BI29" s="184"/>
    </row>
    <row r="30" spans="9:66" ht="17" thickBot="1">
      <c r="I30" t="s">
        <v>97</v>
      </c>
      <c r="K30" s="35"/>
      <c r="L30" s="35"/>
      <c r="M30" s="35"/>
      <c r="N30" s="35"/>
      <c r="AW30" s="121" t="s">
        <v>22</v>
      </c>
      <c r="AX30" s="184"/>
      <c r="AY30" s="244">
        <v>618</v>
      </c>
      <c r="AZ30" s="245"/>
      <c r="BA30" s="246"/>
      <c r="BB30" s="223">
        <v>6</v>
      </c>
      <c r="BC30" s="224">
        <v>5</v>
      </c>
      <c r="BD30" s="224">
        <v>4</v>
      </c>
      <c r="BE30" s="225">
        <v>3</v>
      </c>
      <c r="BF30" s="224">
        <v>2</v>
      </c>
      <c r="BG30" s="224">
        <v>1</v>
      </c>
      <c r="BH30" s="226">
        <v>0</v>
      </c>
      <c r="BI30" s="185" t="s">
        <v>23</v>
      </c>
    </row>
    <row r="31" spans="9:66" ht="17" thickBot="1">
      <c r="I31" t="s">
        <v>98</v>
      </c>
      <c r="AW31" s="121" t="s">
        <v>28</v>
      </c>
      <c r="AX31" s="98"/>
      <c r="AY31" s="214">
        <v>619</v>
      </c>
      <c r="AZ31" s="215"/>
      <c r="BA31" s="216"/>
      <c r="BB31" s="227">
        <v>6</v>
      </c>
      <c r="BC31" s="128">
        <v>5</v>
      </c>
      <c r="BD31" s="128">
        <v>4</v>
      </c>
      <c r="BE31" s="228">
        <v>3</v>
      </c>
      <c r="BF31" s="128">
        <v>2</v>
      </c>
      <c r="BG31" s="128">
        <v>1</v>
      </c>
      <c r="BH31" s="229">
        <v>0</v>
      </c>
      <c r="BI31" s="185" t="s">
        <v>23</v>
      </c>
    </row>
    <row r="32" spans="9:66" ht="17" thickBot="1">
      <c r="I32" t="s">
        <v>138</v>
      </c>
      <c r="AW32" s="121" t="s">
        <v>37</v>
      </c>
      <c r="AX32" s="98"/>
      <c r="AY32" s="247">
        <v>399</v>
      </c>
      <c r="AZ32" s="248"/>
      <c r="BA32" s="249"/>
      <c r="BB32" s="230">
        <v>6</v>
      </c>
      <c r="BC32" s="231">
        <v>5</v>
      </c>
      <c r="BD32" s="231">
        <v>4</v>
      </c>
      <c r="BE32" s="232">
        <v>3</v>
      </c>
      <c r="BF32" s="231">
        <v>2</v>
      </c>
      <c r="BG32" s="231">
        <v>1</v>
      </c>
      <c r="BH32" s="233">
        <v>0</v>
      </c>
      <c r="BI32" s="185" t="s">
        <v>23</v>
      </c>
    </row>
    <row r="33" spans="9:61" ht="16" customHeight="1" thickBot="1">
      <c r="I33" s="19"/>
      <c r="AW33" s="121" t="s">
        <v>41</v>
      </c>
      <c r="AX33" s="98"/>
      <c r="AY33" s="220">
        <v>478</v>
      </c>
      <c r="AZ33" s="221"/>
      <c r="BA33" s="222"/>
      <c r="BB33" s="234">
        <v>6</v>
      </c>
      <c r="BC33" s="235">
        <v>5</v>
      </c>
      <c r="BD33" s="235">
        <v>4</v>
      </c>
      <c r="BE33" s="235">
        <v>3</v>
      </c>
      <c r="BF33" s="235">
        <v>2</v>
      </c>
      <c r="BG33" s="235">
        <v>1</v>
      </c>
      <c r="BH33" s="236">
        <v>0</v>
      </c>
      <c r="BI33" s="98"/>
    </row>
    <row r="34" spans="9:61" ht="18" thickBot="1">
      <c r="I34" s="11" t="s">
        <v>29</v>
      </c>
      <c r="J34" s="11" t="s">
        <v>99</v>
      </c>
      <c r="K34" s="11" t="s">
        <v>100</v>
      </c>
      <c r="L34" s="11" t="s">
        <v>101</v>
      </c>
      <c r="M34" s="11" t="s">
        <v>102</v>
      </c>
      <c r="N34" s="11"/>
      <c r="O34" s="13" t="s">
        <v>103</v>
      </c>
      <c r="Q34" s="31" t="s">
        <v>104</v>
      </c>
      <c r="R34" s="11" t="s">
        <v>105</v>
      </c>
      <c r="AW34" s="121" t="s">
        <v>48</v>
      </c>
      <c r="AX34" s="184"/>
      <c r="AY34" s="159">
        <v>479</v>
      </c>
      <c r="AZ34" s="160"/>
      <c r="BA34" s="161"/>
      <c r="BB34" s="237">
        <v>6</v>
      </c>
      <c r="BC34" s="238">
        <v>5</v>
      </c>
      <c r="BD34" s="238">
        <v>4</v>
      </c>
      <c r="BE34" s="238">
        <v>3</v>
      </c>
      <c r="BF34" s="238">
        <v>2</v>
      </c>
      <c r="BG34" s="238">
        <v>1</v>
      </c>
      <c r="BH34" s="239">
        <v>0</v>
      </c>
      <c r="BI34" s="98"/>
    </row>
    <row r="35" spans="9:61" ht="17" thickBot="1">
      <c r="I35" s="2" t="s">
        <v>106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38"/>
      <c r="R35" s="12"/>
      <c r="AW35" s="121" t="s">
        <v>54</v>
      </c>
      <c r="AX35" s="184"/>
      <c r="AY35" s="253">
        <v>480</v>
      </c>
      <c r="AZ35" s="254"/>
      <c r="BA35" s="255"/>
      <c r="BB35" s="240">
        <v>6</v>
      </c>
      <c r="BC35" s="241">
        <v>5</v>
      </c>
      <c r="BD35" s="241">
        <v>4</v>
      </c>
      <c r="BE35" s="242">
        <v>3</v>
      </c>
      <c r="BF35" s="242">
        <v>2</v>
      </c>
      <c r="BG35" s="241">
        <v>1</v>
      </c>
      <c r="BH35" s="243">
        <v>0</v>
      </c>
      <c r="BI35" s="184"/>
    </row>
    <row r="36" spans="9:61" ht="18" thickBot="1">
      <c r="I36" s="2" t="s">
        <v>107</v>
      </c>
      <c r="J36" s="1">
        <v>100</v>
      </c>
      <c r="K36" s="1">
        <v>5</v>
      </c>
      <c r="L36" s="1">
        <v>0.05</v>
      </c>
      <c r="M36" s="1">
        <f t="shared" ref="M36" si="1">L36*1000</f>
        <v>50</v>
      </c>
      <c r="N36" s="1"/>
      <c r="O36" s="1">
        <f>($L$19*L36)/K36</f>
        <v>0.2</v>
      </c>
      <c r="P36" s="49"/>
      <c r="Q36" s="38"/>
      <c r="R36" s="12"/>
      <c r="AW36" s="121" t="s">
        <v>60</v>
      </c>
      <c r="AX36" s="184"/>
      <c r="AY36" s="184"/>
      <c r="AZ36" s="184"/>
      <c r="BA36" s="98"/>
      <c r="BB36" s="184"/>
      <c r="BC36" s="184"/>
      <c r="BD36" s="98"/>
      <c r="BE36" s="184"/>
      <c r="BF36" s="184"/>
      <c r="BG36" s="184"/>
      <c r="BH36" s="184"/>
      <c r="BI36" s="184"/>
    </row>
    <row r="37" spans="9:61" ht="17">
      <c r="P37" s="56"/>
    </row>
    <row r="38" spans="9:61" ht="54">
      <c r="I38" s="49" t="s">
        <v>108</v>
      </c>
      <c r="J38" s="49" t="s">
        <v>109</v>
      </c>
      <c r="K38" s="49" t="s">
        <v>110</v>
      </c>
      <c r="L38" s="49" t="s">
        <v>111</v>
      </c>
      <c r="M38" s="49" t="s">
        <v>112</v>
      </c>
      <c r="N38" s="49" t="s">
        <v>113</v>
      </c>
      <c r="O38" s="49" t="s">
        <v>114</v>
      </c>
      <c r="P38" s="56"/>
      <c r="Q38" s="49"/>
      <c r="R38" s="49"/>
    </row>
    <row r="39" spans="9:61" ht="17">
      <c r="I39" s="50"/>
      <c r="J39" s="51"/>
      <c r="K39" s="52"/>
      <c r="L39" s="52"/>
      <c r="M39" s="53"/>
      <c r="N39" s="54"/>
      <c r="O39" s="56"/>
      <c r="Q39" s="56"/>
      <c r="R39" s="56"/>
    </row>
    <row r="40" spans="9:61" ht="17">
      <c r="I40" s="50"/>
      <c r="J40" s="55"/>
      <c r="K40" s="63"/>
      <c r="L40" s="63"/>
      <c r="M40" s="53"/>
      <c r="N40" s="50"/>
      <c r="O40" s="56"/>
      <c r="Q40" s="56"/>
      <c r="R40" s="56"/>
    </row>
    <row r="41" spans="9:61">
      <c r="I41" t="s">
        <v>115</v>
      </c>
    </row>
    <row r="42" spans="9:61">
      <c r="I42" t="s">
        <v>116</v>
      </c>
    </row>
    <row r="43" spans="9:61" ht="15" customHeight="1"/>
    <row r="44" spans="9:61" ht="15" customHeight="1">
      <c r="I44" t="s">
        <v>117</v>
      </c>
    </row>
    <row r="45" spans="9:61" ht="35" customHeight="1">
      <c r="I45" s="19" t="s">
        <v>118</v>
      </c>
    </row>
    <row r="46" spans="9:61" ht="33" customHeight="1">
      <c r="I46" s="19" t="s">
        <v>119</v>
      </c>
    </row>
    <row r="47" spans="9:61">
      <c r="I47" s="19" t="s">
        <v>120</v>
      </c>
    </row>
    <row r="48" spans="9:61">
      <c r="I48" s="19" t="s">
        <v>121</v>
      </c>
    </row>
    <row r="49" spans="9:15">
      <c r="I49" s="19" t="s">
        <v>122</v>
      </c>
    </row>
    <row r="50" spans="9:15">
      <c r="I50" s="19" t="s">
        <v>123</v>
      </c>
    </row>
    <row r="51" spans="9:15">
      <c r="I51" s="19" t="s">
        <v>124</v>
      </c>
      <c r="O51" s="96" t="s">
        <v>125</v>
      </c>
    </row>
    <row r="52" spans="9:15">
      <c r="I52" s="19" t="s">
        <v>126</v>
      </c>
      <c r="K52" t="s">
        <v>127</v>
      </c>
      <c r="N52" s="97"/>
      <c r="O52" s="95" t="s">
        <v>128</v>
      </c>
    </row>
    <row r="55" spans="9:15">
      <c r="I55" t="s">
        <v>129</v>
      </c>
    </row>
    <row r="56" spans="9:15" ht="16" customHeight="1">
      <c r="I56" t="s">
        <v>130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20">
    <mergeCell ref="AT28:AU29"/>
    <mergeCell ref="BL6:BL7"/>
    <mergeCell ref="N9:O9"/>
    <mergeCell ref="X16:X17"/>
    <mergeCell ref="Y16:Y17"/>
    <mergeCell ref="T11:U11"/>
    <mergeCell ref="AT6:AU7"/>
    <mergeCell ref="AT17:AU18"/>
    <mergeCell ref="S18:U19"/>
    <mergeCell ref="T12:U12"/>
    <mergeCell ref="S13:U15"/>
    <mergeCell ref="S17:U17"/>
    <mergeCell ref="W16:W17"/>
    <mergeCell ref="N1:O8"/>
    <mergeCell ref="AC20:AK28"/>
    <mergeCell ref="I6:J6"/>
    <mergeCell ref="I7:J7"/>
    <mergeCell ref="L7:M7"/>
    <mergeCell ref="K4:K7"/>
    <mergeCell ref="S5:S6"/>
  </mergeCells>
  <phoneticPr fontId="8" type="noConversion"/>
  <pageMargins left="0.7" right="0.7" top="0.75" bottom="0.75" header="0.3" footer="0.3"/>
  <pageSetup scale="47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LOD template</vt:lpstr>
      <vt:lpstr>'LOD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Malofsky</dc:creator>
  <cp:keywords/>
  <dc:description/>
  <cp:lastModifiedBy>Swesh Dhungel</cp:lastModifiedBy>
  <cp:revision/>
  <cp:lastPrinted>2025-04-23T14:46:51Z</cp:lastPrinted>
  <dcterms:created xsi:type="dcterms:W3CDTF">2021-07-14T19:35:26Z</dcterms:created>
  <dcterms:modified xsi:type="dcterms:W3CDTF">2025-04-23T16:00:02Z</dcterms:modified>
  <cp:category/>
  <cp:contentStatus/>
</cp:coreProperties>
</file>